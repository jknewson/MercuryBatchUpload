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WIM\Documents\Visual Studio\Projects\WiMGitHub\MercuryBatchUpload\MercuryBatchUpload\Assets\"/>
    </mc:Choice>
  </mc:AlternateContent>
  <bookViews>
    <workbookView xWindow="140" yWindow="-170" windowWidth="25880" windowHeight="15380" activeTab="1"/>
  </bookViews>
  <sheets>
    <sheet name="Summary" sheetId="1" r:id="rId1"/>
    <sheet name="Results" sheetId="7" r:id="rId2"/>
    <sheet name="Lookup Tables" sheetId="3" r:id="rId3"/>
  </sheets>
  <definedNames>
    <definedName name="Constituent_Name">OFFSET('Lookup Tables'!$A$3,0,0,COUNTA('Lookup Tables'!$A$3:$A$63),1)</definedName>
    <definedName name="IsotopeFlag">OFFSET('Lookup Tables'!$H$3,0,0,COUNTA('Lookup Tables'!$H$3:$H$63),1)</definedName>
    <definedName name="Method_Name">INDEX('Lookup Tables'!$O$3:$O$27,MATCH(Results!$B1,'Lookup Tables'!$N$3:$N$27,0)):INDEX('Lookup Tables'!$O$3:$O$27,MATCH(Results!$B1,'Lookup Tables'!$N$3:$N$27,1))</definedName>
    <definedName name="Quality_Assurance">OFFSET('Lookup Tables'!$J$3,0,0,COUNTA('Lookup Tables'!$J$3:$J$63),1)</definedName>
    <definedName name="UnitType_Name">OFFSET('Lookup Tables'!$F$3,0,0,COUNTA('Lookup Tables'!$F$3:$F$63)+1,1)</definedName>
  </definedNames>
  <calcPr calcId="152511"/>
</workbook>
</file>

<file path=xl/calcChain.xml><?xml version="1.0" encoding="utf-8"?>
<calcChain xmlns="http://schemas.openxmlformats.org/spreadsheetml/2006/main">
  <c r="P27" i="3" l="1"/>
  <c r="P26" i="3"/>
  <c r="P25" i="3"/>
  <c r="P24" i="3"/>
  <c r="P23" i="3"/>
  <c r="P22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</calcChain>
</file>

<file path=xl/comments1.xml><?xml version="1.0" encoding="utf-8"?>
<comments xmlns="http://schemas.openxmlformats.org/spreadsheetml/2006/main">
  <authors>
    <author>Newson, Jeremy K.</author>
  </authors>
  <commentList>
    <comment ref="D2" authorId="0" shapeId="0">
      <text>
        <r>
          <rPr>
            <b/>
            <sz val="9"/>
            <color indexed="81"/>
            <rFont val="Tahoma"/>
            <family val="2"/>
          </rPr>
          <t>Attention:</t>
        </r>
        <r>
          <rPr>
            <sz val="9"/>
            <color indexed="81"/>
            <rFont val="Tahoma"/>
            <family val="2"/>
          </rPr>
          <t xml:space="preserve">
Field conditionally required based on selected method.</t>
        </r>
      </text>
    </comment>
    <comment ref="F2" authorId="0" shapeId="0">
      <text>
        <r>
          <rPr>
            <b/>
            <sz val="9"/>
            <color indexed="81"/>
            <rFont val="Tahoma"/>
            <charset val="1"/>
          </rPr>
          <t>Attention:</t>
        </r>
        <r>
          <rPr>
            <sz val="9"/>
            <color indexed="81"/>
            <rFont val="Tahoma"/>
            <charset val="1"/>
          </rPr>
          <t xml:space="preserve">
Field will default to date of upload if left blank.</t>
        </r>
      </text>
    </comment>
  </commentList>
</comments>
</file>

<file path=xl/sharedStrings.xml><?xml version="1.0" encoding="utf-8"?>
<sst xmlns="http://schemas.openxmlformats.org/spreadsheetml/2006/main" count="245" uniqueCount="166">
  <si>
    <t>Results</t>
  </si>
  <si>
    <t>Constituent</t>
  </si>
  <si>
    <r>
      <t xml:space="preserve">Constituent </t>
    </r>
    <r>
      <rPr>
        <b/>
        <sz val="11"/>
        <color theme="9"/>
        <rFont val="Calibri"/>
        <family val="2"/>
        <scheme val="minor"/>
      </rPr>
      <t>*</t>
    </r>
  </si>
  <si>
    <t>Analysis Comments</t>
  </si>
  <si>
    <t>Results Lookup Tables</t>
  </si>
  <si>
    <t>Method</t>
  </si>
  <si>
    <t>PTHG</t>
  </si>
  <si>
    <t>STHG</t>
  </si>
  <si>
    <t>SMHG</t>
  </si>
  <si>
    <t>BTHG</t>
  </si>
  <si>
    <t>PMHG</t>
  </si>
  <si>
    <t>Moisture_Percent</t>
  </si>
  <si>
    <t>Solids_Percent</t>
  </si>
  <si>
    <t>DIC</t>
  </si>
  <si>
    <t>DOC</t>
  </si>
  <si>
    <t>Dry_Weight_Percent</t>
  </si>
  <si>
    <t>FMHG</t>
  </si>
  <si>
    <t>HG0</t>
  </si>
  <si>
    <t>LOI_Percent</t>
  </si>
  <si>
    <t>SPM</t>
  </si>
  <si>
    <t>SRHG</t>
  </si>
  <si>
    <t>TOC</t>
  </si>
  <si>
    <t>UMHG</t>
  </si>
  <si>
    <t>URHG</t>
  </si>
  <si>
    <t>UTHG</t>
  </si>
  <si>
    <t>TOC (MP)</t>
  </si>
  <si>
    <t>MOISTURE_PERCENT (MP)</t>
  </si>
  <si>
    <t>SOLIDS_PERCENT (MP)</t>
  </si>
  <si>
    <t>LOI_PERCENT (MP)</t>
  </si>
  <si>
    <t>HG0 (MP)</t>
  </si>
  <si>
    <t>DRY_WEIGHT_PERCENT (MP)</t>
  </si>
  <si>
    <t>UTHG (SL)</t>
  </si>
  <si>
    <t>DOC (MP)</t>
  </si>
  <si>
    <t>FTHG (SL)</t>
  </si>
  <si>
    <t>BMHG (SUSPENDED)</t>
  </si>
  <si>
    <t>BTHG (SUSPENDED)</t>
  </si>
  <si>
    <t>STHG (SL BRD)</t>
  </si>
  <si>
    <t>BMHG</t>
  </si>
  <si>
    <t>TIC</t>
  </si>
  <si>
    <t>Constituent_Method</t>
  </si>
  <si>
    <t>FRHG</t>
  </si>
  <si>
    <t>FTHG</t>
  </si>
  <si>
    <t>UnitTypes</t>
  </si>
  <si>
    <t>=INDEX('Lookup Tables'!$K$3:$K$62,MATCH(Results!$B$3,'Lookup Tables'!$I$3:$I$62,0)):INDEX('Lookup Tables'!$K$3:$K$62,MATCH(Results!$A3,'Lookup Tables'!$I$3:$I$62,1))</t>
  </si>
  <si>
    <t>=INDEX('Lookup Tables'!$I$3:$I$62,MATCH(Results!$A14,'Lookup Tables'!$G$3:$G$62,0)):INDEX('Lookup Tables'!$I$3:$I$62,MATCH(Results!$A14,'Lookup Tables'!$G$3:$G$62,1))</t>
  </si>
  <si>
    <t>comment 1</t>
  </si>
  <si>
    <t>comment 2</t>
  </si>
  <si>
    <t>comment 5</t>
  </si>
  <si>
    <t>comment 6</t>
  </si>
  <si>
    <t>comment 7</t>
  </si>
  <si>
    <t>comment 8</t>
  </si>
  <si>
    <t>comment 9</t>
  </si>
  <si>
    <t>comment 10</t>
  </si>
  <si>
    <t>comment 11</t>
  </si>
  <si>
    <t>comment 12</t>
  </si>
  <si>
    <t>comment 13</t>
  </si>
  <si>
    <t>comment 14</t>
  </si>
  <si>
    <t>comment 15</t>
  </si>
  <si>
    <t>comment 16</t>
  </si>
  <si>
    <t>comment 17</t>
  </si>
  <si>
    <t>comment 18</t>
  </si>
  <si>
    <t>comment 19</t>
  </si>
  <si>
    <t>Detection Limit</t>
  </si>
  <si>
    <t>DIS26009</t>
  </si>
  <si>
    <t>DIS260EJ</t>
  </si>
  <si>
    <t>DIS260FI</t>
  </si>
  <si>
    <t>DIS260GG</t>
  </si>
  <si>
    <t>DIS261FI</t>
  </si>
  <si>
    <t>DIS261GZ</t>
  </si>
  <si>
    <t>DIS261HQ</t>
  </si>
  <si>
    <t>DIS261Y</t>
  </si>
  <si>
    <t>DIS26205</t>
  </si>
  <si>
    <t>DIS26209</t>
  </si>
  <si>
    <t>DIS262AT</t>
  </si>
  <si>
    <t>15N</t>
  </si>
  <si>
    <t>323FU</t>
  </si>
  <si>
    <t>CLB328IU</t>
  </si>
  <si>
    <t>UTD55IU</t>
  </si>
  <si>
    <t>UTD605IU</t>
  </si>
  <si>
    <t>UTD566IU</t>
  </si>
  <si>
    <t>Quality Assurance Types</t>
  </si>
  <si>
    <t>C</t>
  </si>
  <si>
    <t>NONE</t>
  </si>
  <si>
    <t>P10</t>
  </si>
  <si>
    <t>P20</t>
  </si>
  <si>
    <t>P30</t>
  </si>
  <si>
    <t>R10</t>
  </si>
  <si>
    <t>R20</t>
  </si>
  <si>
    <t>R30</t>
  </si>
  <si>
    <t>Q</t>
  </si>
  <si>
    <t>S</t>
  </si>
  <si>
    <t>LS</t>
  </si>
  <si>
    <t>R25</t>
  </si>
  <si>
    <t>J</t>
  </si>
  <si>
    <t>SB</t>
  </si>
  <si>
    <t>""</t>
  </si>
  <si>
    <t>C1</t>
  </si>
  <si>
    <t>T</t>
  </si>
  <si>
    <t>S2</t>
  </si>
  <si>
    <t>S1</t>
  </si>
  <si>
    <t>S3</t>
  </si>
  <si>
    <t>R</t>
  </si>
  <si>
    <t>M</t>
  </si>
  <si>
    <t>CAL</t>
  </si>
  <si>
    <t>HB</t>
  </si>
  <si>
    <t>C2</t>
  </si>
  <si>
    <t>C3</t>
  </si>
  <si>
    <t>I</t>
  </si>
  <si>
    <t>PP</t>
  </si>
  <si>
    <t>E</t>
  </si>
  <si>
    <t>ARCVD</t>
  </si>
  <si>
    <t>CRM</t>
  </si>
  <si>
    <t>A</t>
  </si>
  <si>
    <t>NG/BOB (DRY)</t>
  </si>
  <si>
    <t>%</t>
  </si>
  <si>
    <t>NG/BOMB (WET)</t>
  </si>
  <si>
    <t>NG/G (DRY)</t>
  </si>
  <si>
    <t>MASS/FILTER</t>
  </si>
  <si>
    <t>NG/L</t>
  </si>
  <si>
    <t>MG/L</t>
  </si>
  <si>
    <t>NG/ALIQUOT</t>
  </si>
  <si>
    <t>UG/G (WET)</t>
  </si>
  <si>
    <t>NG/G WET</t>
  </si>
  <si>
    <t>PERCENT</t>
  </si>
  <si>
    <t>NG/G (WET)</t>
  </si>
  <si>
    <t>NG/BOMB</t>
  </si>
  <si>
    <t>MASS/FILTER IN NG</t>
  </si>
  <si>
    <t>NG/G DRY</t>
  </si>
  <si>
    <t>MOISTURE_PERCENT</t>
  </si>
  <si>
    <t>SOLIDS_PERCENT</t>
  </si>
  <si>
    <t>DRY_WEIGHT_PERCENT</t>
  </si>
  <si>
    <t>WET_WEIGHT_PERCENT</t>
  </si>
  <si>
    <t>DMHG</t>
  </si>
  <si>
    <t>DTHG</t>
  </si>
  <si>
    <t>Quality Assurance</t>
  </si>
  <si>
    <t>Information to summarize how to fill out the spreadsheet</t>
  </si>
  <si>
    <r>
      <t xml:space="preserve">Bottle ID </t>
    </r>
    <r>
      <rPr>
        <b/>
        <sz val="11"/>
        <color theme="9"/>
        <rFont val="Calibri"/>
        <family val="2"/>
        <scheme val="minor"/>
      </rPr>
      <t>*</t>
    </r>
  </si>
  <si>
    <t>BMHG (MP, ANALYZE DRY, HNO3)</t>
  </si>
  <si>
    <t>BTHG (MP, ANALYZE DRY)</t>
  </si>
  <si>
    <t>BTHG (SL, DC)</t>
  </si>
  <si>
    <t>BTHG (SL, WITHOUT H2SO4)</t>
  </si>
  <si>
    <t>FMHG (MP, V2)</t>
  </si>
  <si>
    <t>FTHG (SL,automated)</t>
  </si>
  <si>
    <t>PMHG (MP, V2)</t>
  </si>
  <si>
    <t>PTHG (MP, V2)</t>
  </si>
  <si>
    <t>SMHG (SL, ANALYZE DRY)</t>
  </si>
  <si>
    <t>STHG (SL, ANALYZE DRY DC)</t>
  </si>
  <si>
    <t>UMHG (MP, V2)</t>
  </si>
  <si>
    <t>UTHG (SL,automated)</t>
  </si>
  <si>
    <r>
      <t xml:space="preserve">Date of Analysis </t>
    </r>
    <r>
      <rPr>
        <b/>
        <sz val="11"/>
        <color rgb="FFFFC000"/>
        <rFont val="Calibri"/>
        <family val="2"/>
        <scheme val="minor"/>
      </rPr>
      <t>*</t>
    </r>
  </si>
  <si>
    <r>
      <t xml:space="preserve">Method Code </t>
    </r>
    <r>
      <rPr>
        <b/>
        <sz val="11"/>
        <color theme="9"/>
        <rFont val="Calibri"/>
        <family val="2"/>
        <scheme val="minor"/>
      </rPr>
      <t>*</t>
    </r>
  </si>
  <si>
    <t>SRHG (MP)</t>
  </si>
  <si>
    <t>Isotope_Flag</t>
  </si>
  <si>
    <t>X-201</t>
  </si>
  <si>
    <t>X-204</t>
  </si>
  <si>
    <t>NA</t>
  </si>
  <si>
    <t>X-198</t>
  </si>
  <si>
    <t>X-200</t>
  </si>
  <si>
    <t>X-199</t>
  </si>
  <si>
    <t>X-202</t>
  </si>
  <si>
    <r>
      <t xml:space="preserve">Isotope Flag </t>
    </r>
    <r>
      <rPr>
        <b/>
        <sz val="11"/>
        <color theme="9"/>
        <rFont val="Calibri"/>
        <family val="2"/>
        <scheme val="minor"/>
      </rPr>
      <t>*</t>
    </r>
  </si>
  <si>
    <r>
      <t xml:space="preserve">Raw Value </t>
    </r>
    <r>
      <rPr>
        <b/>
        <sz val="11"/>
        <color theme="9"/>
        <rFont val="Calibri"/>
        <family val="2"/>
        <scheme val="minor"/>
      </rPr>
      <t>*</t>
    </r>
  </si>
  <si>
    <r>
      <t xml:space="preserve">Raw Value Units </t>
    </r>
    <r>
      <rPr>
        <b/>
        <sz val="11"/>
        <color theme="9"/>
        <rFont val="Calibri"/>
        <family val="2"/>
        <scheme val="minor"/>
      </rPr>
      <t>*</t>
    </r>
  </si>
  <si>
    <t>Sample Mass Process</t>
  </si>
  <si>
    <t>Required for Mass Process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</si>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</sst>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9"/>
      <name val="Consolas"/>
      <family val="3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E1E1E8"/>
      </left>
      <right style="medium">
        <color rgb="FFE1E1E8"/>
      </right>
      <top style="medium">
        <color rgb="FFE1E1E8"/>
      </top>
      <bottom style="medium">
        <color rgb="FFE1E1E8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rgb="FFCCCCCC"/>
      </right>
      <top/>
      <bottom/>
      <diagonal/>
    </border>
  </borders>
  <cellStyleXfs count="376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11" applyNumberFormat="0" applyFill="0" applyAlignment="0" applyProtection="0"/>
    <xf numFmtId="0" fontId="14" fillId="0" borderId="12" applyNumberFormat="0" applyFill="0" applyAlignment="0" applyProtection="0"/>
    <xf numFmtId="0" fontId="15" fillId="0" borderId="13" applyNumberFormat="0" applyFill="0" applyAlignment="0" applyProtection="0"/>
    <xf numFmtId="0" fontId="15" fillId="0" borderId="0" applyNumberFormat="0" applyFill="0" applyBorder="0" applyAlignment="0" applyProtection="0"/>
    <xf numFmtId="0" fontId="16" fillId="5" borderId="0" applyNumberFormat="0" applyBorder="0" applyAlignment="0" applyProtection="0"/>
    <xf numFmtId="0" fontId="17" fillId="6" borderId="0" applyNumberFormat="0" applyBorder="0" applyAlignment="0" applyProtection="0"/>
    <xf numFmtId="0" fontId="18" fillId="7" borderId="0" applyNumberFormat="0" applyBorder="0" applyAlignment="0" applyProtection="0"/>
    <xf numFmtId="0" fontId="19" fillId="8" borderId="14" applyNumberFormat="0" applyAlignment="0" applyProtection="0"/>
    <xf numFmtId="0" fontId="20" fillId="9" borderId="15" applyNumberFormat="0" applyAlignment="0" applyProtection="0"/>
    <xf numFmtId="0" fontId="21" fillId="9" borderId="14" applyNumberFormat="0" applyAlignment="0" applyProtection="0"/>
    <xf numFmtId="0" fontId="22" fillId="0" borderId="16" applyNumberFormat="0" applyFill="0" applyAlignment="0" applyProtection="0"/>
    <xf numFmtId="0" fontId="7" fillId="10" borderId="17" applyNumberFormat="0" applyAlignment="0" applyProtection="0"/>
    <xf numFmtId="0" fontId="23" fillId="0" borderId="0" applyNumberFormat="0" applyFill="0" applyBorder="0" applyAlignment="0" applyProtection="0"/>
    <xf numFmtId="0" fontId="11" fillId="11" borderId="18" applyNumberFormat="0" applyFont="0" applyAlignment="0" applyProtection="0"/>
    <xf numFmtId="0" fontId="24" fillId="0" borderId="0" applyNumberFormat="0" applyFill="0" applyBorder="0" applyAlignment="0" applyProtection="0"/>
    <xf numFmtId="0" fontId="1" fillId="0" borderId="19" applyNumberFormat="0" applyFill="0" applyAlignment="0" applyProtection="0"/>
    <xf numFmtId="0" fontId="8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8" fillId="35" borderId="0" applyNumberFormat="0" applyBorder="0" applyAlignment="0" applyProtection="0"/>
  </cellStyleXfs>
  <cellXfs count="56">
    <xf numFmtId="0" fontId="0" fillId="0" borderId="0" xfId="0"/>
    <xf numFmtId="0" fontId="0" fillId="4" borderId="0" xfId="0" applyFill="1" applyBorder="1" applyAlignment="1"/>
    <xf numFmtId="0" fontId="1" fillId="4" borderId="0" xfId="0" applyFont="1" applyFill="1" applyBorder="1" applyAlignment="1">
      <alignment horizontal="center"/>
    </xf>
    <xf numFmtId="0" fontId="0" fillId="4" borderId="0" xfId="0" applyFill="1" applyBorder="1"/>
    <xf numFmtId="0" fontId="7" fillId="0" borderId="2" xfId="0" applyFont="1" applyBorder="1" applyAlignment="1">
      <alignment horizontal="center"/>
    </xf>
    <xf numFmtId="0" fontId="8" fillId="0" borderId="0" xfId="0" applyFont="1" applyBorder="1"/>
    <xf numFmtId="0" fontId="8" fillId="0" borderId="6" xfId="0" applyFont="1" applyBorder="1"/>
    <xf numFmtId="0" fontId="8" fillId="0" borderId="0" xfId="0" applyFont="1"/>
    <xf numFmtId="0" fontId="7" fillId="0" borderId="3" xfId="0" applyFont="1" applyBorder="1" applyAlignment="1">
      <alignment horizontal="center"/>
    </xf>
    <xf numFmtId="0" fontId="0" fillId="0" borderId="0" xfId="0" quotePrefix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9" fillId="36" borderId="7" xfId="0" applyFont="1" applyFill="1" applyBorder="1" applyAlignment="1">
      <alignment horizontal="right" wrapText="1"/>
    </xf>
    <xf numFmtId="0" fontId="23" fillId="0" borderId="0" xfId="0" applyFont="1"/>
    <xf numFmtId="0" fontId="9" fillId="36" borderId="8" xfId="0" applyFont="1" applyFill="1" applyBorder="1" applyAlignment="1">
      <alignment horizontal="right" wrapText="1"/>
    </xf>
    <xf numFmtId="0" fontId="0" fillId="0" borderId="0" xfId="0"/>
    <xf numFmtId="0" fontId="9" fillId="36" borderId="20" xfId="0" applyFont="1" applyFill="1" applyBorder="1" applyAlignment="1">
      <alignment horizontal="right" wrapText="1"/>
    </xf>
    <xf numFmtId="0" fontId="9" fillId="36" borderId="9" xfId="0" applyFont="1" applyFill="1" applyBorder="1" applyAlignment="1">
      <alignment horizontal="right" wrapText="1"/>
    </xf>
    <xf numFmtId="0" fontId="26" fillId="0" borderId="2" xfId="0" applyFont="1" applyBorder="1" applyAlignment="1">
      <alignment horizontal="center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1" fillId="0" borderId="1" xfId="0" applyFont="1" applyBorder="1" applyProtection="1"/>
    <xf numFmtId="0" fontId="1" fillId="0" borderId="2" xfId="0" applyFont="1" applyBorder="1" applyProtection="1"/>
    <xf numFmtId="14" fontId="1" fillId="0" borderId="2" xfId="0" applyNumberFormat="1" applyFont="1" applyBorder="1" applyProtection="1"/>
    <xf numFmtId="0" fontId="1" fillId="0" borderId="3" xfId="0" applyFont="1" applyFill="1" applyBorder="1" applyAlignment="1" applyProtection="1">
      <alignment horizontal="center"/>
    </xf>
    <xf numFmtId="0" fontId="1" fillId="0" borderId="2" xfId="0" applyFont="1" applyBorder="1" applyAlignment="1">
      <alignment horizontal="center"/>
    </xf>
    <xf numFmtId="0" fontId="30" fillId="0" borderId="0" xfId="0" applyFont="1" applyBorder="1"/>
    <xf numFmtId="0" fontId="30" fillId="0" borderId="0" xfId="0" applyFont="1" applyFill="1"/>
    <xf numFmtId="0" fontId="30" fillId="0" borderId="0" xfId="0" applyFont="1" applyFill="1" applyBorder="1"/>
    <xf numFmtId="0" fontId="30" fillId="0" borderId="6" xfId="0" applyFont="1" applyBorder="1"/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right"/>
    </xf>
    <xf numFmtId="0" fontId="27" fillId="0" borderId="0" xfId="0" applyFont="1" applyBorder="1" applyAlignment="1">
      <alignment horizontal="right"/>
    </xf>
    <xf numFmtId="0" fontId="8" fillId="0" borderId="0" xfId="0" applyFont="1" applyBorder="1" applyAlignment="1">
      <alignment horizontal="right"/>
    </xf>
    <xf numFmtId="0" fontId="10" fillId="0" borderId="0" xfId="0" applyFont="1" applyBorder="1" applyAlignment="1">
      <alignment horizontal="right" vertical="center"/>
    </xf>
    <xf numFmtId="0" fontId="0" fillId="0" borderId="10" xfId="0" applyFill="1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0" xfId="0" applyFill="1" applyAlignment="1">
      <alignment horizontal="right"/>
    </xf>
    <xf numFmtId="0" fontId="0" fillId="0" borderId="4" xfId="0" applyFill="1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0" fontId="2" fillId="2" borderId="1" xfId="0" applyFont="1" applyFill="1" applyBorder="1" applyAlignment="1" applyProtection="1">
      <alignment horizontal="center"/>
    </xf>
    <xf numFmtId="0" fontId="2" fillId="2" borderId="2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23" fillId="0" borderId="0" xfId="0" applyFont="1" applyBorder="1" applyAlignment="1">
      <alignment horizontal="left"/>
    </xf>
    <xf numFmtId="0" fontId="23" fillId="0" borderId="4" xfId="0" applyFont="1" applyFill="1" applyBorder="1" applyAlignment="1">
      <alignment horizontal="left"/>
    </xf>
    <xf numFmtId="0" fontId="23" fillId="0" borderId="0" xfId="0" applyFont="1" applyFill="1"/>
    <xf numFmtId="0" fontId="23" fillId="0" borderId="6" xfId="0" applyFont="1" applyBorder="1" applyAlignment="1">
      <alignment horizontal="left"/>
    </xf>
  </cellXfs>
  <cellStyles count="376">
    <cellStyle name="20% - Accent1" xfId="353" builtinId="30" customBuiltin="1"/>
    <cellStyle name="20% - Accent2" xfId="357" builtinId="34" customBuiltin="1"/>
    <cellStyle name="20% - Accent3" xfId="361" builtinId="38" customBuiltin="1"/>
    <cellStyle name="20% - Accent4" xfId="365" builtinId="42" customBuiltin="1"/>
    <cellStyle name="20% - Accent5" xfId="369" builtinId="46" customBuiltin="1"/>
    <cellStyle name="20% - Accent6" xfId="373" builtinId="50" customBuiltin="1"/>
    <cellStyle name="40% - Accent1" xfId="354" builtinId="31" customBuiltin="1"/>
    <cellStyle name="40% - Accent2" xfId="358" builtinId="35" customBuiltin="1"/>
    <cellStyle name="40% - Accent3" xfId="362" builtinId="39" customBuiltin="1"/>
    <cellStyle name="40% - Accent4" xfId="366" builtinId="43" customBuiltin="1"/>
    <cellStyle name="40% - Accent5" xfId="370" builtinId="47" customBuiltin="1"/>
    <cellStyle name="40% - Accent6" xfId="374" builtinId="51" customBuiltin="1"/>
    <cellStyle name="60% - Accent1" xfId="355" builtinId="32" customBuiltin="1"/>
    <cellStyle name="60% - Accent2" xfId="359" builtinId="36" customBuiltin="1"/>
    <cellStyle name="60% - Accent3" xfId="363" builtinId="40" customBuiltin="1"/>
    <cellStyle name="60% - Accent4" xfId="367" builtinId="44" customBuiltin="1"/>
    <cellStyle name="60% - Accent5" xfId="371" builtinId="48" customBuiltin="1"/>
    <cellStyle name="60% - Accent6" xfId="375" builtinId="52" customBuiltin="1"/>
    <cellStyle name="Accent1" xfId="352" builtinId="29" customBuiltin="1"/>
    <cellStyle name="Accent2" xfId="356" builtinId="33" customBuiltin="1"/>
    <cellStyle name="Accent3" xfId="360" builtinId="37" customBuiltin="1"/>
    <cellStyle name="Accent4" xfId="364" builtinId="41" customBuiltin="1"/>
    <cellStyle name="Accent5" xfId="368" builtinId="45" customBuiltin="1"/>
    <cellStyle name="Accent6" xfId="372" builtinId="49" customBuiltin="1"/>
    <cellStyle name="Bad" xfId="341" builtinId="27" customBuiltin="1"/>
    <cellStyle name="Calculation" xfId="345" builtinId="22" customBuiltin="1"/>
    <cellStyle name="Check Cell" xfId="347" builtinId="23" customBuiltin="1"/>
    <cellStyle name="Explanatory Text" xfId="350" builtinId="53" customBuiltin="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Good" xfId="340" builtinId="26" customBuiltin="1"/>
    <cellStyle name="Heading 1" xfId="336" builtinId="16" customBuiltin="1"/>
    <cellStyle name="Heading 2" xfId="337" builtinId="17" customBuiltin="1"/>
    <cellStyle name="Heading 3" xfId="338" builtinId="18" customBuiltin="1"/>
    <cellStyle name="Heading 4" xfId="339" builtinId="19" customBuilti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Input" xfId="343" builtinId="20" customBuiltin="1"/>
    <cellStyle name="Linked Cell" xfId="346" builtinId="24" customBuiltin="1"/>
    <cellStyle name="Neutral" xfId="342" builtinId="28" customBuiltin="1"/>
    <cellStyle name="Normal" xfId="0" builtinId="0"/>
    <cellStyle name="Note" xfId="349" builtinId="10" customBuiltin="1"/>
    <cellStyle name="Output" xfId="344" builtinId="21" customBuiltin="1"/>
    <cellStyle name="Title" xfId="335" builtinId="15" customBuiltin="1"/>
    <cellStyle name="Total" xfId="351" builtinId="25" customBuiltin="1"/>
    <cellStyle name="Warning Text" xfId="348" builtinId="11" customBuiltin="1"/>
  </cellStyles>
  <dxfs count="6"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66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"/>
  <sheetViews>
    <sheetView workbookViewId="0"/>
  </sheetViews>
  <sheetFormatPr defaultColWidth="0" defaultRowHeight="14.5" x14ac:dyDescent="0.35"/>
  <cols>
    <col min="1" max="17" width="9.1796875" customWidth="1"/>
    <col min="18" max="16384" width="9.1796875" hidden="1"/>
  </cols>
  <sheetData>
    <row r="1" spans="1:1" x14ac:dyDescent="0.35">
      <c r="A1" t="s">
        <v>135</v>
      </c>
    </row>
  </sheetData>
  <sheetProtection select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/>
  </sheetPr>
  <dimension ref="A1:L999"/>
  <sheetViews>
    <sheetView tabSelected="1" workbookViewId="0">
      <pane ySplit="2" topLeftCell="A3" activePane="bottomLeft" state="frozen"/>
      <selection pane="bottomLeft" activeCell="A27" sqref="A27"/>
    </sheetView>
  </sheetViews>
  <sheetFormatPr defaultColWidth="0" defaultRowHeight="14.5" zeroHeight="1" x14ac:dyDescent="0.35"/>
  <cols>
    <col min="1" max="1" width="17.26953125" style="20" customWidth="1"/>
    <col min="2" max="2" width="28.1796875" style="20" customWidth="1"/>
    <col min="3" max="3" width="13.54296875" style="20" customWidth="1"/>
    <col min="4" max="4" width="21.1796875" style="20" customWidth="1"/>
    <col min="5" max="5" width="16.453125" style="20" customWidth="1"/>
    <col min="6" max="6" width="22.453125" style="20" customWidth="1"/>
    <col min="7" max="7" width="20.1796875" style="20" customWidth="1"/>
    <col min="8" max="8" width="22.453125" style="20" customWidth="1"/>
    <col min="9" max="9" width="18.1796875" style="20" customWidth="1"/>
    <col min="10" max="10" width="21.54296875" style="20" customWidth="1"/>
    <col min="11" max="11" width="32.7265625" style="20" customWidth="1"/>
    <col min="12" max="12" width="0" style="20" hidden="1" customWidth="1"/>
    <col min="13" max="16384" width="9.1796875" style="20" hidden="1"/>
  </cols>
  <sheetData>
    <row r="1" spans="1:11" ht="21.5" thickBot="1" x14ac:dyDescent="0.55000000000000004">
      <c r="A1" s="43" t="s">
        <v>0</v>
      </c>
      <c r="B1" s="44"/>
      <c r="C1" s="44"/>
      <c r="D1" s="44"/>
      <c r="E1" s="44"/>
      <c r="F1" s="44"/>
      <c r="G1" s="44"/>
      <c r="H1" s="44"/>
      <c r="I1" s="44"/>
      <c r="J1" s="44"/>
      <c r="K1" s="45"/>
    </row>
    <row r="2" spans="1:11" ht="15" thickBot="1" x14ac:dyDescent="0.4">
      <c r="A2" s="23" t="s">
        <v>136</v>
      </c>
      <c r="B2" s="24" t="s">
        <v>2</v>
      </c>
      <c r="C2" s="24" t="s">
        <v>160</v>
      </c>
      <c r="D2" s="24" t="s">
        <v>163</v>
      </c>
      <c r="E2" s="24" t="s">
        <v>150</v>
      </c>
      <c r="F2" s="25" t="s">
        <v>149</v>
      </c>
      <c r="G2" s="24" t="s">
        <v>161</v>
      </c>
      <c r="H2" s="24" t="s">
        <v>162</v>
      </c>
      <c r="I2" s="24" t="s">
        <v>62</v>
      </c>
      <c r="J2" s="24" t="s">
        <v>134</v>
      </c>
      <c r="K2" s="26" t="s">
        <v>3</v>
      </c>
    </row>
    <row r="3" spans="1:11" x14ac:dyDescent="0.35">
      <c r="A3" s="20" t="s">
        <v>63</v>
      </c>
      <c r="B3" s="20" t="s">
        <v>128</v>
      </c>
      <c r="C3" s="20" t="s">
        <v>156</v>
      </c>
      <c r="E3" s="20">
        <v>103</v>
      </c>
      <c r="F3" s="21">
        <v>28036</v>
      </c>
      <c r="G3" s="22">
        <v>0</v>
      </c>
      <c r="H3" s="20" t="s">
        <v>114</v>
      </c>
      <c r="I3" s="20">
        <v>1.7999999999999999E-2</v>
      </c>
      <c r="K3" s="20" t="s">
        <v>45</v>
      </c>
    </row>
    <row r="4" spans="1:11" x14ac:dyDescent="0.35">
      <c r="A4" s="20" t="s">
        <v>64</v>
      </c>
      <c r="B4" s="20" t="s">
        <v>9</v>
      </c>
      <c r="C4" s="20" t="s">
        <v>155</v>
      </c>
      <c r="E4" s="20">
        <v>100</v>
      </c>
      <c r="F4" s="21">
        <v>28036</v>
      </c>
      <c r="G4" s="22"/>
      <c r="H4" s="20" t="s">
        <v>116</v>
      </c>
      <c r="I4" s="20">
        <v>0.32400000000000001</v>
      </c>
      <c r="K4" s="20" t="s">
        <v>46</v>
      </c>
    </row>
    <row r="5" spans="1:11" x14ac:dyDescent="0.35">
      <c r="A5" s="20" t="s">
        <v>65</v>
      </c>
      <c r="B5" s="20" t="s">
        <v>37</v>
      </c>
      <c r="C5" s="20" t="s">
        <v>155</v>
      </c>
      <c r="E5" s="20">
        <v>184</v>
      </c>
      <c r="F5" s="21">
        <v>28039</v>
      </c>
      <c r="G5" s="22">
        <v>123.49</v>
      </c>
      <c r="H5" s="20" t="s">
        <v>116</v>
      </c>
      <c r="I5" s="20">
        <v>0.63</v>
      </c>
      <c r="K5" s="20" t="s">
        <v>47</v>
      </c>
    </row>
    <row r="6" spans="1:11" x14ac:dyDescent="0.35">
      <c r="A6" s="20" t="s">
        <v>66</v>
      </c>
      <c r="B6" s="20" t="s">
        <v>9</v>
      </c>
      <c r="C6" s="20" t="s">
        <v>155</v>
      </c>
      <c r="E6" s="20">
        <v>156</v>
      </c>
      <c r="F6" s="21">
        <v>28040</v>
      </c>
      <c r="G6" s="22">
        <v>123.5</v>
      </c>
      <c r="H6" s="20" t="s">
        <v>116</v>
      </c>
      <c r="I6" s="20">
        <v>0.93600000000000005</v>
      </c>
      <c r="K6" s="20" t="s">
        <v>48</v>
      </c>
    </row>
    <row r="7" spans="1:11" x14ac:dyDescent="0.35">
      <c r="A7" s="20" t="s">
        <v>67</v>
      </c>
      <c r="B7" s="20" t="s">
        <v>14</v>
      </c>
      <c r="C7" s="20" t="s">
        <v>155</v>
      </c>
      <c r="E7" s="20">
        <v>44</v>
      </c>
      <c r="F7" s="21">
        <v>28041</v>
      </c>
      <c r="G7" s="22">
        <v>0</v>
      </c>
      <c r="H7" s="20" t="s">
        <v>119</v>
      </c>
      <c r="I7" s="20">
        <v>1.242</v>
      </c>
      <c r="K7" s="20" t="s">
        <v>49</v>
      </c>
    </row>
    <row r="8" spans="1:11" x14ac:dyDescent="0.35">
      <c r="A8" s="20" t="s">
        <v>68</v>
      </c>
      <c r="B8" s="20" t="s">
        <v>130</v>
      </c>
      <c r="C8" s="20" t="s">
        <v>155</v>
      </c>
      <c r="E8" s="20">
        <v>92</v>
      </c>
      <c r="F8" s="21">
        <v>28042</v>
      </c>
      <c r="G8" s="22">
        <v>123.52</v>
      </c>
      <c r="H8" s="20" t="s">
        <v>114</v>
      </c>
      <c r="I8" s="20">
        <v>1.548</v>
      </c>
      <c r="K8" s="20" t="s">
        <v>50</v>
      </c>
    </row>
    <row r="9" spans="1:11" x14ac:dyDescent="0.35">
      <c r="A9" s="20" t="s">
        <v>69</v>
      </c>
      <c r="B9" s="20" t="s">
        <v>16</v>
      </c>
      <c r="C9" s="20" t="s">
        <v>155</v>
      </c>
      <c r="E9" s="20">
        <v>91</v>
      </c>
      <c r="F9" s="21">
        <v>28043</v>
      </c>
      <c r="G9" s="22">
        <v>123.53</v>
      </c>
      <c r="H9" s="20" t="s">
        <v>118</v>
      </c>
      <c r="I9" s="20">
        <v>1.8540000000000001</v>
      </c>
      <c r="K9" s="20" t="s">
        <v>51</v>
      </c>
    </row>
    <row r="10" spans="1:11" x14ac:dyDescent="0.35">
      <c r="A10" s="20" t="s">
        <v>70</v>
      </c>
      <c r="B10" s="20" t="s">
        <v>17</v>
      </c>
      <c r="C10" s="20" t="s">
        <v>156</v>
      </c>
      <c r="E10" s="20">
        <v>87</v>
      </c>
      <c r="F10" s="21">
        <v>28044</v>
      </c>
      <c r="G10" s="22">
        <v>123.54</v>
      </c>
      <c r="H10" s="20" t="s">
        <v>118</v>
      </c>
      <c r="I10" s="20">
        <v>2.16</v>
      </c>
      <c r="K10" s="20" t="s">
        <v>52</v>
      </c>
    </row>
    <row r="11" spans="1:11" x14ac:dyDescent="0.35">
      <c r="A11" s="20" t="s">
        <v>71</v>
      </c>
      <c r="B11" s="20" t="s">
        <v>18</v>
      </c>
      <c r="C11" s="20" t="s">
        <v>155</v>
      </c>
      <c r="E11" s="20">
        <v>86</v>
      </c>
      <c r="F11" s="21">
        <v>28045</v>
      </c>
      <c r="G11" s="22">
        <v>123.55</v>
      </c>
      <c r="H11" s="20" t="s">
        <v>114</v>
      </c>
      <c r="I11" s="20">
        <v>2.4660000000000002</v>
      </c>
      <c r="K11" s="20" t="s">
        <v>53</v>
      </c>
    </row>
    <row r="12" spans="1:11" x14ac:dyDescent="0.35">
      <c r="A12" s="20" t="s">
        <v>72</v>
      </c>
      <c r="B12" s="20" t="s">
        <v>128</v>
      </c>
      <c r="C12" s="20" t="s">
        <v>155</v>
      </c>
      <c r="E12" s="20">
        <v>103</v>
      </c>
      <c r="F12" s="21">
        <v>28046</v>
      </c>
      <c r="G12" s="22">
        <v>123.56</v>
      </c>
      <c r="H12" s="20" t="s">
        <v>114</v>
      </c>
      <c r="I12" s="20">
        <v>2.7719999999999998</v>
      </c>
      <c r="K12" s="20" t="s">
        <v>54</v>
      </c>
    </row>
    <row r="13" spans="1:11" x14ac:dyDescent="0.35">
      <c r="A13" s="20" t="s">
        <v>73</v>
      </c>
      <c r="B13" s="20" t="s">
        <v>10</v>
      </c>
      <c r="C13" s="20" t="s">
        <v>155</v>
      </c>
      <c r="E13" s="20">
        <v>85</v>
      </c>
      <c r="F13" s="21">
        <v>28047</v>
      </c>
      <c r="G13" s="22">
        <v>123.57</v>
      </c>
      <c r="H13" s="20" t="s">
        <v>118</v>
      </c>
      <c r="I13" s="20">
        <v>3.0779999999999998</v>
      </c>
      <c r="K13" s="20" t="s">
        <v>55</v>
      </c>
    </row>
    <row r="14" spans="1:11" x14ac:dyDescent="0.35">
      <c r="A14" s="20" t="s">
        <v>74</v>
      </c>
      <c r="B14" s="20" t="s">
        <v>6</v>
      </c>
      <c r="C14" s="20" t="s">
        <v>155</v>
      </c>
      <c r="E14" s="20">
        <v>83</v>
      </c>
      <c r="F14" s="21">
        <v>28048</v>
      </c>
      <c r="G14" s="22">
        <v>123.58</v>
      </c>
      <c r="H14" s="20" t="s">
        <v>117</v>
      </c>
      <c r="I14" s="20">
        <v>3.3839999999999999</v>
      </c>
      <c r="K14" s="20" t="s">
        <v>56</v>
      </c>
    </row>
    <row r="15" spans="1:11" x14ac:dyDescent="0.35">
      <c r="A15" s="20" t="s">
        <v>75</v>
      </c>
      <c r="B15" s="20" t="s">
        <v>8</v>
      </c>
      <c r="C15" s="20" t="s">
        <v>155</v>
      </c>
      <c r="E15" s="20">
        <v>126</v>
      </c>
      <c r="F15" s="21">
        <v>28049</v>
      </c>
      <c r="G15" s="22">
        <v>123.59</v>
      </c>
      <c r="H15" s="20" t="s">
        <v>116</v>
      </c>
      <c r="I15" s="20">
        <v>3.69</v>
      </c>
      <c r="K15" s="20" t="s">
        <v>57</v>
      </c>
    </row>
    <row r="16" spans="1:11" x14ac:dyDescent="0.35">
      <c r="A16" s="20" t="s">
        <v>76</v>
      </c>
      <c r="B16" s="20" t="s">
        <v>129</v>
      </c>
      <c r="C16" s="20" t="s">
        <v>155</v>
      </c>
      <c r="E16" s="20">
        <v>104</v>
      </c>
      <c r="F16" s="21">
        <v>28050</v>
      </c>
      <c r="G16" s="22">
        <v>123.6</v>
      </c>
      <c r="H16" s="20" t="s">
        <v>114</v>
      </c>
      <c r="I16" s="20">
        <v>3.996</v>
      </c>
      <c r="K16" s="20" t="s">
        <v>58</v>
      </c>
    </row>
    <row r="17" spans="1:11" x14ac:dyDescent="0.35">
      <c r="A17" s="20" t="s">
        <v>77</v>
      </c>
      <c r="B17" s="20" t="s">
        <v>19</v>
      </c>
      <c r="C17" s="20" t="s">
        <v>155</v>
      </c>
      <c r="F17" s="21">
        <v>28051</v>
      </c>
      <c r="G17" s="22">
        <v>123.61</v>
      </c>
      <c r="H17" s="20" t="s">
        <v>117</v>
      </c>
      <c r="I17" s="20">
        <v>4.3019999999999996</v>
      </c>
      <c r="K17" s="20" t="s">
        <v>59</v>
      </c>
    </row>
    <row r="18" spans="1:11" x14ac:dyDescent="0.35">
      <c r="A18" s="20" t="s">
        <v>78</v>
      </c>
      <c r="B18" s="20" t="s">
        <v>20</v>
      </c>
      <c r="C18" s="20" t="s">
        <v>155</v>
      </c>
      <c r="E18" s="20">
        <v>74</v>
      </c>
      <c r="F18" s="21">
        <v>28052</v>
      </c>
      <c r="G18" s="22">
        <v>123.62</v>
      </c>
      <c r="H18" s="20" t="s">
        <v>116</v>
      </c>
      <c r="I18" s="20">
        <v>4.6079999999999997</v>
      </c>
      <c r="K18" s="20" t="s">
        <v>60</v>
      </c>
    </row>
    <row r="19" spans="1:11" x14ac:dyDescent="0.35">
      <c r="A19" s="20" t="s">
        <v>79</v>
      </c>
      <c r="B19" s="20" t="s">
        <v>7</v>
      </c>
      <c r="C19" s="20" t="s">
        <v>155</v>
      </c>
      <c r="E19" s="20">
        <v>157</v>
      </c>
      <c r="F19" s="21">
        <v>28053</v>
      </c>
      <c r="G19" s="22">
        <v>123.63</v>
      </c>
      <c r="H19" s="20" t="s">
        <v>116</v>
      </c>
      <c r="I19" s="20">
        <v>4.9139999999999997</v>
      </c>
      <c r="K19" s="20" t="s">
        <v>61</v>
      </c>
    </row>
    <row r="20" spans="1:11" x14ac:dyDescent="0.35"/>
    <row r="21" spans="1:11" x14ac:dyDescent="0.35"/>
    <row r="22" spans="1:11" x14ac:dyDescent="0.35">
      <c r="A22" s="20" t="s">
        <v>165</v>
      </c>
      <c r="B22" s="20" t="s">
        <v>7</v>
      </c>
      <c r="C22" s="20" t="s">
        <v>155</v>
      </c>
      <c r="E22" s="20">
        <v>228</v>
      </c>
    </row>
    <row r="23" spans="1:11" x14ac:dyDescent="0.35"/>
    <row r="24" spans="1:11" x14ac:dyDescent="0.35"/>
    <row r="25" spans="1:11" x14ac:dyDescent="0.35"/>
    <row r="26" spans="1:11" x14ac:dyDescent="0.35"/>
    <row r="27" spans="1:11" x14ac:dyDescent="0.35"/>
    <row r="28" spans="1:11" x14ac:dyDescent="0.35"/>
    <row r="29" spans="1:11" x14ac:dyDescent="0.35"/>
    <row r="30" spans="1:11" x14ac:dyDescent="0.35"/>
    <row r="31" spans="1:11" x14ac:dyDescent="0.35"/>
    <row r="32" spans="1:11" x14ac:dyDescent="0.35"/>
    <row r="33" x14ac:dyDescent="0.35"/>
    <row r="34" x14ac:dyDescent="0.35"/>
    <row r="35" x14ac:dyDescent="0.35"/>
    <row r="36" x14ac:dyDescent="0.35"/>
    <row r="37" x14ac:dyDescent="0.35"/>
    <row r="38" x14ac:dyDescent="0.35"/>
    <row r="39" x14ac:dyDescent="0.35"/>
    <row r="40" x14ac:dyDescent="0.35"/>
    <row r="41" x14ac:dyDescent="0.35"/>
    <row r="42" x14ac:dyDescent="0.35"/>
    <row r="43" x14ac:dyDescent="0.35"/>
    <row r="44" x14ac:dyDescent="0.35"/>
    <row r="45" x14ac:dyDescent="0.35"/>
    <row r="46" x14ac:dyDescent="0.35"/>
    <row r="47" x14ac:dyDescent="0.35"/>
    <row r="48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  <row r="67" x14ac:dyDescent="0.35"/>
    <row r="68" x14ac:dyDescent="0.35"/>
    <row r="69" x14ac:dyDescent="0.35"/>
    <row r="70" x14ac:dyDescent="0.35"/>
    <row r="71" x14ac:dyDescent="0.35"/>
    <row r="72" x14ac:dyDescent="0.35"/>
    <row r="73" x14ac:dyDescent="0.35"/>
    <row r="74" x14ac:dyDescent="0.35"/>
    <row r="75" x14ac:dyDescent="0.35"/>
    <row r="76" x14ac:dyDescent="0.35"/>
    <row r="77" x14ac:dyDescent="0.35"/>
    <row r="78" x14ac:dyDescent="0.35"/>
    <row r="79" x14ac:dyDescent="0.35"/>
    <row r="80" x14ac:dyDescent="0.35"/>
    <row r="81" x14ac:dyDescent="0.35"/>
    <row r="82" x14ac:dyDescent="0.35"/>
    <row r="83" x14ac:dyDescent="0.35"/>
    <row r="84" x14ac:dyDescent="0.35"/>
    <row r="85" x14ac:dyDescent="0.35"/>
    <row r="86" x14ac:dyDescent="0.35"/>
    <row r="87" x14ac:dyDescent="0.35"/>
    <row r="88" x14ac:dyDescent="0.35"/>
    <row r="89" x14ac:dyDescent="0.35"/>
    <row r="90" x14ac:dyDescent="0.35"/>
    <row r="91" x14ac:dyDescent="0.35"/>
    <row r="92" x14ac:dyDescent="0.35"/>
    <row r="93" x14ac:dyDescent="0.35"/>
    <row r="94" x14ac:dyDescent="0.35"/>
    <row r="95" x14ac:dyDescent="0.35"/>
    <row r="96" x14ac:dyDescent="0.35"/>
    <row r="97" x14ac:dyDescent="0.35"/>
    <row r="98" x14ac:dyDescent="0.35"/>
    <row r="99" x14ac:dyDescent="0.35"/>
    <row r="100" x14ac:dyDescent="0.35"/>
    <row r="101" x14ac:dyDescent="0.35"/>
    <row r="102" x14ac:dyDescent="0.35"/>
    <row r="103" x14ac:dyDescent="0.35"/>
    <row r="104" x14ac:dyDescent="0.35"/>
    <row r="105" x14ac:dyDescent="0.35"/>
    <row r="106" x14ac:dyDescent="0.35"/>
    <row r="107" x14ac:dyDescent="0.35"/>
    <row r="108" x14ac:dyDescent="0.35"/>
    <row r="109" x14ac:dyDescent="0.35"/>
    <row r="110" x14ac:dyDescent="0.35"/>
    <row r="111" x14ac:dyDescent="0.35"/>
    <row r="112" x14ac:dyDescent="0.35"/>
    <row r="113" x14ac:dyDescent="0.35"/>
    <row r="114" x14ac:dyDescent="0.35"/>
    <row r="115" x14ac:dyDescent="0.35"/>
    <row r="116" x14ac:dyDescent="0.35"/>
    <row r="117" x14ac:dyDescent="0.35"/>
    <row r="118" x14ac:dyDescent="0.35"/>
    <row r="119" x14ac:dyDescent="0.35"/>
    <row r="120" x14ac:dyDescent="0.35"/>
    <row r="121" x14ac:dyDescent="0.35"/>
    <row r="122" x14ac:dyDescent="0.35"/>
    <row r="123" x14ac:dyDescent="0.35"/>
    <row r="124" x14ac:dyDescent="0.35"/>
    <row r="125" x14ac:dyDescent="0.35"/>
    <row r="126" x14ac:dyDescent="0.35"/>
    <row r="127" x14ac:dyDescent="0.35"/>
    <row r="128" x14ac:dyDescent="0.35"/>
    <row r="129" x14ac:dyDescent="0.35"/>
    <row r="130" x14ac:dyDescent="0.35"/>
    <row r="131" x14ac:dyDescent="0.35"/>
    <row r="132" x14ac:dyDescent="0.35"/>
    <row r="133" x14ac:dyDescent="0.35"/>
    <row r="134" x14ac:dyDescent="0.35"/>
    <row r="135" x14ac:dyDescent="0.35"/>
    <row r="136" x14ac:dyDescent="0.35"/>
    <row r="137" x14ac:dyDescent="0.35"/>
    <row r="138" x14ac:dyDescent="0.35"/>
    <row r="139" x14ac:dyDescent="0.35"/>
    <row r="140" x14ac:dyDescent="0.35"/>
    <row r="141" x14ac:dyDescent="0.35"/>
    <row r="142" x14ac:dyDescent="0.35"/>
    <row r="143" x14ac:dyDescent="0.35"/>
    <row r="144" x14ac:dyDescent="0.35"/>
    <row r="145" x14ac:dyDescent="0.35"/>
    <row r="146" x14ac:dyDescent="0.35"/>
    <row r="147" x14ac:dyDescent="0.35"/>
    <row r="148" x14ac:dyDescent="0.35"/>
    <row r="149" x14ac:dyDescent="0.35"/>
    <row r="150" x14ac:dyDescent="0.35"/>
    <row r="151" x14ac:dyDescent="0.35"/>
    <row r="152" x14ac:dyDescent="0.35"/>
    <row r="153" x14ac:dyDescent="0.35"/>
    <row r="154" x14ac:dyDescent="0.35"/>
    <row r="155" x14ac:dyDescent="0.35"/>
    <row r="156" x14ac:dyDescent="0.35"/>
    <row r="157" x14ac:dyDescent="0.35"/>
    <row r="158" x14ac:dyDescent="0.35"/>
    <row r="159" x14ac:dyDescent="0.35"/>
    <row r="160" x14ac:dyDescent="0.35"/>
    <row r="161" x14ac:dyDescent="0.35"/>
    <row r="162" x14ac:dyDescent="0.35"/>
    <row r="163" x14ac:dyDescent="0.35"/>
    <row r="164" x14ac:dyDescent="0.35"/>
    <row r="165" x14ac:dyDescent="0.35"/>
    <row r="166" x14ac:dyDescent="0.35"/>
    <row r="167" x14ac:dyDescent="0.35"/>
    <row r="168" x14ac:dyDescent="0.35"/>
    <row r="169" x14ac:dyDescent="0.35"/>
    <row r="170" x14ac:dyDescent="0.35"/>
    <row r="171" x14ac:dyDescent="0.35"/>
    <row r="172" x14ac:dyDescent="0.35"/>
    <row r="173" x14ac:dyDescent="0.35"/>
    <row r="174" x14ac:dyDescent="0.35"/>
    <row r="175" x14ac:dyDescent="0.35"/>
    <row r="176" x14ac:dyDescent="0.35"/>
    <row r="177" x14ac:dyDescent="0.35"/>
    <row r="178" x14ac:dyDescent="0.35"/>
    <row r="179" x14ac:dyDescent="0.35"/>
    <row r="180" x14ac:dyDescent="0.35"/>
    <row r="181" x14ac:dyDescent="0.35"/>
    <row r="182" x14ac:dyDescent="0.35"/>
    <row r="183" x14ac:dyDescent="0.35"/>
    <row r="184" x14ac:dyDescent="0.35"/>
    <row r="185" x14ac:dyDescent="0.35"/>
    <row r="186" x14ac:dyDescent="0.35"/>
    <row r="187" x14ac:dyDescent="0.35"/>
    <row r="188" x14ac:dyDescent="0.35"/>
    <row r="189" x14ac:dyDescent="0.35"/>
    <row r="190" x14ac:dyDescent="0.35"/>
    <row r="191" x14ac:dyDescent="0.35"/>
    <row r="192" x14ac:dyDescent="0.35"/>
    <row r="193" x14ac:dyDescent="0.35"/>
    <row r="194" x14ac:dyDescent="0.35"/>
    <row r="195" x14ac:dyDescent="0.35"/>
    <row r="196" x14ac:dyDescent="0.35"/>
    <row r="197" x14ac:dyDescent="0.35"/>
    <row r="198" x14ac:dyDescent="0.35"/>
    <row r="199" x14ac:dyDescent="0.35"/>
    <row r="200" x14ac:dyDescent="0.35"/>
    <row r="201" x14ac:dyDescent="0.35"/>
    <row r="202" x14ac:dyDescent="0.35"/>
    <row r="203" x14ac:dyDescent="0.35"/>
    <row r="204" x14ac:dyDescent="0.35"/>
    <row r="205" x14ac:dyDescent="0.35"/>
    <row r="206" x14ac:dyDescent="0.35"/>
    <row r="207" x14ac:dyDescent="0.35"/>
    <row r="208" x14ac:dyDescent="0.35"/>
    <row r="209" x14ac:dyDescent="0.35"/>
    <row r="210" x14ac:dyDescent="0.35"/>
    <row r="211" x14ac:dyDescent="0.35"/>
    <row r="212" x14ac:dyDescent="0.35"/>
    <row r="213" x14ac:dyDescent="0.35"/>
    <row r="214" x14ac:dyDescent="0.35"/>
    <row r="215" x14ac:dyDescent="0.35"/>
    <row r="216" x14ac:dyDescent="0.35"/>
    <row r="217" x14ac:dyDescent="0.35"/>
    <row r="218" x14ac:dyDescent="0.35"/>
    <row r="219" x14ac:dyDescent="0.35"/>
    <row r="220" x14ac:dyDescent="0.35"/>
    <row r="221" x14ac:dyDescent="0.35"/>
    <row r="222" x14ac:dyDescent="0.35"/>
    <row r="223" x14ac:dyDescent="0.35"/>
    <row r="224" x14ac:dyDescent="0.35"/>
    <row r="225" x14ac:dyDescent="0.35"/>
    <row r="226" x14ac:dyDescent="0.35"/>
    <row r="227" x14ac:dyDescent="0.35"/>
    <row r="228" x14ac:dyDescent="0.35"/>
    <row r="229" x14ac:dyDescent="0.35"/>
    <row r="230" x14ac:dyDescent="0.35"/>
    <row r="231" x14ac:dyDescent="0.35"/>
    <row r="232" x14ac:dyDescent="0.35"/>
    <row r="233" x14ac:dyDescent="0.35"/>
    <row r="234" x14ac:dyDescent="0.35"/>
    <row r="235" x14ac:dyDescent="0.35"/>
    <row r="236" x14ac:dyDescent="0.35"/>
    <row r="237" x14ac:dyDescent="0.35"/>
    <row r="238" x14ac:dyDescent="0.35"/>
    <row r="239" x14ac:dyDescent="0.35"/>
    <row r="240" x14ac:dyDescent="0.35"/>
    <row r="241" x14ac:dyDescent="0.35"/>
    <row r="242" x14ac:dyDescent="0.35"/>
    <row r="243" x14ac:dyDescent="0.35"/>
    <row r="244" x14ac:dyDescent="0.35"/>
    <row r="245" x14ac:dyDescent="0.35"/>
    <row r="246" x14ac:dyDescent="0.35"/>
    <row r="247" x14ac:dyDescent="0.35"/>
    <row r="248" x14ac:dyDescent="0.35"/>
    <row r="249" x14ac:dyDescent="0.35"/>
    <row r="250" x14ac:dyDescent="0.35"/>
    <row r="251" x14ac:dyDescent="0.35"/>
    <row r="252" x14ac:dyDescent="0.35"/>
    <row r="253" x14ac:dyDescent="0.35"/>
    <row r="254" x14ac:dyDescent="0.35"/>
    <row r="255" x14ac:dyDescent="0.35"/>
    <row r="256" x14ac:dyDescent="0.35"/>
    <row r="257" x14ac:dyDescent="0.35"/>
    <row r="258" x14ac:dyDescent="0.35"/>
    <row r="259" x14ac:dyDescent="0.35"/>
    <row r="260" x14ac:dyDescent="0.35"/>
    <row r="261" x14ac:dyDescent="0.35"/>
    <row r="262" x14ac:dyDescent="0.35"/>
    <row r="263" x14ac:dyDescent="0.35"/>
    <row r="264" x14ac:dyDescent="0.35"/>
    <row r="265" x14ac:dyDescent="0.35"/>
    <row r="266" x14ac:dyDescent="0.35"/>
    <row r="267" x14ac:dyDescent="0.35"/>
    <row r="268" x14ac:dyDescent="0.35"/>
    <row r="269" x14ac:dyDescent="0.35"/>
    <row r="270" x14ac:dyDescent="0.35"/>
    <row r="271" x14ac:dyDescent="0.35"/>
    <row r="272" x14ac:dyDescent="0.35"/>
    <row r="273" x14ac:dyDescent="0.35"/>
    <row r="274" x14ac:dyDescent="0.35"/>
    <row r="275" x14ac:dyDescent="0.35"/>
    <row r="276" x14ac:dyDescent="0.35"/>
    <row r="277" x14ac:dyDescent="0.35"/>
    <row r="278" x14ac:dyDescent="0.35"/>
    <row r="279" x14ac:dyDescent="0.35"/>
    <row r="280" x14ac:dyDescent="0.35"/>
    <row r="281" x14ac:dyDescent="0.35"/>
    <row r="282" x14ac:dyDescent="0.35"/>
    <row r="283" x14ac:dyDescent="0.35"/>
    <row r="284" x14ac:dyDescent="0.35"/>
    <row r="285" x14ac:dyDescent="0.35"/>
    <row r="286" x14ac:dyDescent="0.35"/>
    <row r="287" x14ac:dyDescent="0.35"/>
    <row r="288" x14ac:dyDescent="0.35"/>
    <row r="289" x14ac:dyDescent="0.35"/>
    <row r="290" x14ac:dyDescent="0.35"/>
    <row r="291" x14ac:dyDescent="0.35"/>
    <row r="292" x14ac:dyDescent="0.35"/>
    <row r="293" x14ac:dyDescent="0.35"/>
    <row r="294" x14ac:dyDescent="0.35"/>
    <row r="295" x14ac:dyDescent="0.35"/>
    <row r="296" x14ac:dyDescent="0.35"/>
    <row r="297" x14ac:dyDescent="0.35"/>
    <row r="298" x14ac:dyDescent="0.35"/>
    <row r="299" x14ac:dyDescent="0.35"/>
    <row r="300" x14ac:dyDescent="0.35"/>
    <row r="301" x14ac:dyDescent="0.35"/>
    <row r="302" x14ac:dyDescent="0.35"/>
    <row r="303" x14ac:dyDescent="0.35"/>
    <row r="304" x14ac:dyDescent="0.35"/>
    <row r="305" x14ac:dyDescent="0.35"/>
    <row r="306" x14ac:dyDescent="0.35"/>
    <row r="307" x14ac:dyDescent="0.35"/>
    <row r="308" x14ac:dyDescent="0.35"/>
    <row r="309" x14ac:dyDescent="0.35"/>
    <row r="310" x14ac:dyDescent="0.35"/>
    <row r="311" x14ac:dyDescent="0.35"/>
    <row r="312" x14ac:dyDescent="0.35"/>
    <row r="313" x14ac:dyDescent="0.35"/>
    <row r="314" x14ac:dyDescent="0.35"/>
    <row r="315" x14ac:dyDescent="0.35"/>
    <row r="316" x14ac:dyDescent="0.35"/>
    <row r="317" x14ac:dyDescent="0.35"/>
    <row r="318" x14ac:dyDescent="0.35"/>
    <row r="319" x14ac:dyDescent="0.35"/>
    <row r="320" x14ac:dyDescent="0.35"/>
    <row r="321" x14ac:dyDescent="0.35"/>
    <row r="322" x14ac:dyDescent="0.35"/>
    <row r="323" x14ac:dyDescent="0.35"/>
    <row r="324" x14ac:dyDescent="0.35"/>
    <row r="325" x14ac:dyDescent="0.35"/>
    <row r="326" x14ac:dyDescent="0.35"/>
    <row r="327" x14ac:dyDescent="0.35"/>
    <row r="328" x14ac:dyDescent="0.35"/>
    <row r="329" x14ac:dyDescent="0.35"/>
    <row r="330" x14ac:dyDescent="0.35"/>
    <row r="331" x14ac:dyDescent="0.35"/>
    <row r="332" x14ac:dyDescent="0.35"/>
    <row r="333" x14ac:dyDescent="0.35"/>
    <row r="334" x14ac:dyDescent="0.35"/>
    <row r="335" x14ac:dyDescent="0.35"/>
    <row r="336" x14ac:dyDescent="0.35"/>
    <row r="337" x14ac:dyDescent="0.35"/>
    <row r="338" x14ac:dyDescent="0.35"/>
    <row r="339" x14ac:dyDescent="0.35"/>
    <row r="340" x14ac:dyDescent="0.35"/>
    <row r="341" x14ac:dyDescent="0.35"/>
    <row r="342" x14ac:dyDescent="0.35"/>
    <row r="343" x14ac:dyDescent="0.35"/>
    <row r="344" x14ac:dyDescent="0.35"/>
    <row r="345" x14ac:dyDescent="0.35"/>
    <row r="346" x14ac:dyDescent="0.35"/>
    <row r="347" x14ac:dyDescent="0.35"/>
    <row r="348" x14ac:dyDescent="0.35"/>
    <row r="349" x14ac:dyDescent="0.35"/>
    <row r="350" x14ac:dyDescent="0.35"/>
    <row r="351" x14ac:dyDescent="0.35"/>
    <row r="352" x14ac:dyDescent="0.35"/>
    <row r="353" x14ac:dyDescent="0.35"/>
    <row r="354" x14ac:dyDescent="0.35"/>
    <row r="355" x14ac:dyDescent="0.35"/>
    <row r="356" x14ac:dyDescent="0.35"/>
    <row r="357" x14ac:dyDescent="0.35"/>
    <row r="358" x14ac:dyDescent="0.35"/>
    <row r="359" x14ac:dyDescent="0.35"/>
    <row r="360" x14ac:dyDescent="0.35"/>
    <row r="361" x14ac:dyDescent="0.35"/>
    <row r="362" x14ac:dyDescent="0.35"/>
    <row r="363" x14ac:dyDescent="0.35"/>
    <row r="364" x14ac:dyDescent="0.35"/>
    <row r="365" x14ac:dyDescent="0.35"/>
    <row r="366" x14ac:dyDescent="0.35"/>
    <row r="367" x14ac:dyDescent="0.35"/>
    <row r="368" x14ac:dyDescent="0.35"/>
    <row r="369" x14ac:dyDescent="0.35"/>
    <row r="370" x14ac:dyDescent="0.35"/>
    <row r="371" x14ac:dyDescent="0.35"/>
    <row r="372" x14ac:dyDescent="0.35"/>
    <row r="373" x14ac:dyDescent="0.35"/>
    <row r="374" x14ac:dyDescent="0.35"/>
    <row r="375" x14ac:dyDescent="0.35"/>
    <row r="376" x14ac:dyDescent="0.35"/>
    <row r="377" x14ac:dyDescent="0.35"/>
    <row r="378" x14ac:dyDescent="0.35"/>
    <row r="379" x14ac:dyDescent="0.35"/>
    <row r="380" x14ac:dyDescent="0.35"/>
    <row r="381" x14ac:dyDescent="0.35"/>
    <row r="382" x14ac:dyDescent="0.35"/>
    <row r="383" x14ac:dyDescent="0.35"/>
    <row r="384" x14ac:dyDescent="0.35"/>
    <row r="385" x14ac:dyDescent="0.35"/>
    <row r="386" x14ac:dyDescent="0.35"/>
    <row r="387" x14ac:dyDescent="0.35"/>
    <row r="388" x14ac:dyDescent="0.35"/>
    <row r="389" x14ac:dyDescent="0.35"/>
    <row r="390" x14ac:dyDescent="0.35"/>
    <row r="391" x14ac:dyDescent="0.35"/>
    <row r="392" x14ac:dyDescent="0.35"/>
    <row r="393" x14ac:dyDescent="0.35"/>
    <row r="394" x14ac:dyDescent="0.35"/>
    <row r="395" x14ac:dyDescent="0.35"/>
    <row r="396" x14ac:dyDescent="0.35"/>
    <row r="397" x14ac:dyDescent="0.35"/>
    <row r="398" x14ac:dyDescent="0.35"/>
    <row r="399" x14ac:dyDescent="0.35"/>
    <row r="400" x14ac:dyDescent="0.35"/>
    <row r="401" x14ac:dyDescent="0.35"/>
    <row r="402" x14ac:dyDescent="0.35"/>
    <row r="403" x14ac:dyDescent="0.35"/>
    <row r="404" x14ac:dyDescent="0.35"/>
    <row r="405" x14ac:dyDescent="0.35"/>
    <row r="406" x14ac:dyDescent="0.35"/>
    <row r="407" x14ac:dyDescent="0.35"/>
    <row r="408" x14ac:dyDescent="0.35"/>
    <row r="409" x14ac:dyDescent="0.35"/>
    <row r="410" x14ac:dyDescent="0.35"/>
    <row r="411" x14ac:dyDescent="0.35"/>
    <row r="412" x14ac:dyDescent="0.35"/>
    <row r="413" x14ac:dyDescent="0.35"/>
    <row r="414" x14ac:dyDescent="0.35"/>
    <row r="415" x14ac:dyDescent="0.35"/>
    <row r="416" x14ac:dyDescent="0.35"/>
    <row r="417" x14ac:dyDescent="0.35"/>
    <row r="418" x14ac:dyDescent="0.35"/>
    <row r="419" x14ac:dyDescent="0.35"/>
    <row r="420" x14ac:dyDescent="0.35"/>
    <row r="421" x14ac:dyDescent="0.35"/>
    <row r="422" x14ac:dyDescent="0.35"/>
    <row r="423" x14ac:dyDescent="0.35"/>
    <row r="424" x14ac:dyDescent="0.35"/>
    <row r="425" x14ac:dyDescent="0.35"/>
    <row r="426" x14ac:dyDescent="0.35"/>
    <row r="427" x14ac:dyDescent="0.35"/>
    <row r="428" x14ac:dyDescent="0.35"/>
    <row r="429" x14ac:dyDescent="0.35"/>
    <row r="430" x14ac:dyDescent="0.35"/>
    <row r="431" x14ac:dyDescent="0.35"/>
    <row r="432" x14ac:dyDescent="0.35"/>
    <row r="433" x14ac:dyDescent="0.35"/>
    <row r="434" x14ac:dyDescent="0.35"/>
    <row r="435" x14ac:dyDescent="0.35"/>
    <row r="436" x14ac:dyDescent="0.35"/>
    <row r="437" x14ac:dyDescent="0.35"/>
    <row r="438" x14ac:dyDescent="0.35"/>
    <row r="439" x14ac:dyDescent="0.35"/>
    <row r="440" x14ac:dyDescent="0.35"/>
    <row r="441" x14ac:dyDescent="0.35"/>
    <row r="442" x14ac:dyDescent="0.35"/>
    <row r="443" x14ac:dyDescent="0.35"/>
    <row r="444" x14ac:dyDescent="0.35"/>
    <row r="445" x14ac:dyDescent="0.35"/>
    <row r="446" x14ac:dyDescent="0.35"/>
    <row r="447" x14ac:dyDescent="0.35"/>
    <row r="448" x14ac:dyDescent="0.35"/>
    <row r="449" x14ac:dyDescent="0.35"/>
    <row r="450" x14ac:dyDescent="0.35"/>
    <row r="451" x14ac:dyDescent="0.35"/>
    <row r="452" x14ac:dyDescent="0.35"/>
    <row r="453" x14ac:dyDescent="0.35"/>
    <row r="454" x14ac:dyDescent="0.35"/>
    <row r="455" x14ac:dyDescent="0.35"/>
    <row r="456" x14ac:dyDescent="0.35"/>
    <row r="457" x14ac:dyDescent="0.35"/>
    <row r="458" x14ac:dyDescent="0.35"/>
    <row r="459" x14ac:dyDescent="0.35"/>
    <row r="460" x14ac:dyDescent="0.35"/>
    <row r="461" x14ac:dyDescent="0.35"/>
    <row r="462" x14ac:dyDescent="0.35"/>
    <row r="463" x14ac:dyDescent="0.35"/>
    <row r="464" x14ac:dyDescent="0.35"/>
    <row r="465" x14ac:dyDescent="0.35"/>
    <row r="466" x14ac:dyDescent="0.35"/>
    <row r="467" x14ac:dyDescent="0.35"/>
    <row r="468" x14ac:dyDescent="0.35"/>
    <row r="469" x14ac:dyDescent="0.35"/>
    <row r="470" x14ac:dyDescent="0.35"/>
    <row r="471" x14ac:dyDescent="0.35"/>
    <row r="472" x14ac:dyDescent="0.35"/>
    <row r="473" x14ac:dyDescent="0.35"/>
    <row r="474" x14ac:dyDescent="0.35"/>
    <row r="475" x14ac:dyDescent="0.35"/>
    <row r="476" x14ac:dyDescent="0.35"/>
    <row r="477" x14ac:dyDescent="0.35"/>
    <row r="478" x14ac:dyDescent="0.35"/>
    <row r="479" x14ac:dyDescent="0.35"/>
    <row r="480" x14ac:dyDescent="0.35"/>
    <row r="481" x14ac:dyDescent="0.35"/>
    <row r="482" x14ac:dyDescent="0.35"/>
    <row r="483" x14ac:dyDescent="0.35"/>
    <row r="484" x14ac:dyDescent="0.35"/>
    <row r="485" x14ac:dyDescent="0.35"/>
    <row r="486" x14ac:dyDescent="0.35"/>
    <row r="487" x14ac:dyDescent="0.35"/>
    <row r="488" x14ac:dyDescent="0.35"/>
    <row r="489" x14ac:dyDescent="0.35"/>
    <row r="490" x14ac:dyDescent="0.35"/>
    <row r="491" x14ac:dyDescent="0.35"/>
    <row r="492" x14ac:dyDescent="0.35"/>
    <row r="493" x14ac:dyDescent="0.35"/>
    <row r="494" x14ac:dyDescent="0.35"/>
    <row r="495" x14ac:dyDescent="0.35"/>
    <row r="496" x14ac:dyDescent="0.35"/>
    <row r="497" x14ac:dyDescent="0.35"/>
    <row r="498" x14ac:dyDescent="0.35"/>
    <row r="499" x14ac:dyDescent="0.35"/>
    <row r="500" x14ac:dyDescent="0.35"/>
    <row r="501" x14ac:dyDescent="0.35"/>
    <row r="502" x14ac:dyDescent="0.35"/>
    <row r="503" x14ac:dyDescent="0.35"/>
    <row r="504" x14ac:dyDescent="0.35"/>
    <row r="505" x14ac:dyDescent="0.35"/>
    <row r="506" x14ac:dyDescent="0.35"/>
    <row r="507" x14ac:dyDescent="0.35"/>
    <row r="508" x14ac:dyDescent="0.35"/>
    <row r="509" x14ac:dyDescent="0.35"/>
    <row r="510" x14ac:dyDescent="0.35"/>
    <row r="511" x14ac:dyDescent="0.35"/>
    <row r="512" x14ac:dyDescent="0.35"/>
    <row r="513" x14ac:dyDescent="0.35"/>
    <row r="514" x14ac:dyDescent="0.35"/>
    <row r="515" x14ac:dyDescent="0.35"/>
    <row r="516" x14ac:dyDescent="0.35"/>
    <row r="517" x14ac:dyDescent="0.35"/>
    <row r="518" x14ac:dyDescent="0.35"/>
    <row r="519" x14ac:dyDescent="0.35"/>
    <row r="520" x14ac:dyDescent="0.35"/>
    <row r="521" x14ac:dyDescent="0.35"/>
    <row r="522" x14ac:dyDescent="0.35"/>
    <row r="523" x14ac:dyDescent="0.35"/>
    <row r="524" x14ac:dyDescent="0.35"/>
    <row r="525" x14ac:dyDescent="0.35"/>
    <row r="526" x14ac:dyDescent="0.35"/>
    <row r="527" x14ac:dyDescent="0.35"/>
    <row r="528" x14ac:dyDescent="0.35"/>
    <row r="529" x14ac:dyDescent="0.35"/>
    <row r="530" x14ac:dyDescent="0.35"/>
    <row r="531" x14ac:dyDescent="0.35"/>
    <row r="532" x14ac:dyDescent="0.35"/>
    <row r="533" x14ac:dyDescent="0.35"/>
    <row r="534" x14ac:dyDescent="0.35"/>
    <row r="535" x14ac:dyDescent="0.35"/>
    <row r="536" x14ac:dyDescent="0.35"/>
    <row r="537" x14ac:dyDescent="0.35"/>
    <row r="538" x14ac:dyDescent="0.35"/>
    <row r="539" x14ac:dyDescent="0.35"/>
    <row r="540" x14ac:dyDescent="0.35"/>
    <row r="541" x14ac:dyDescent="0.35"/>
    <row r="542" x14ac:dyDescent="0.35"/>
    <row r="543" x14ac:dyDescent="0.35"/>
    <row r="544" x14ac:dyDescent="0.35"/>
    <row r="545" x14ac:dyDescent="0.35"/>
    <row r="546" x14ac:dyDescent="0.35"/>
    <row r="547" x14ac:dyDescent="0.35"/>
    <row r="548" x14ac:dyDescent="0.35"/>
    <row r="549" x14ac:dyDescent="0.35"/>
    <row r="550" x14ac:dyDescent="0.35"/>
    <row r="551" x14ac:dyDescent="0.35"/>
    <row r="552" x14ac:dyDescent="0.35"/>
    <row r="553" x14ac:dyDescent="0.35"/>
    <row r="554" x14ac:dyDescent="0.35"/>
    <row r="555" x14ac:dyDescent="0.35"/>
    <row r="556" x14ac:dyDescent="0.35"/>
    <row r="557" x14ac:dyDescent="0.35"/>
    <row r="558" x14ac:dyDescent="0.35"/>
    <row r="559" x14ac:dyDescent="0.35"/>
    <row r="560" x14ac:dyDescent="0.35"/>
    <row r="561" x14ac:dyDescent="0.35"/>
    <row r="562" x14ac:dyDescent="0.35"/>
    <row r="563" x14ac:dyDescent="0.35"/>
    <row r="564" x14ac:dyDescent="0.35"/>
    <row r="565" x14ac:dyDescent="0.35"/>
    <row r="566" x14ac:dyDescent="0.35"/>
    <row r="567" x14ac:dyDescent="0.35"/>
    <row r="568" x14ac:dyDescent="0.35"/>
    <row r="569" x14ac:dyDescent="0.35"/>
    <row r="570" x14ac:dyDescent="0.35"/>
    <row r="571" x14ac:dyDescent="0.35"/>
    <row r="572" x14ac:dyDescent="0.35"/>
    <row r="573" x14ac:dyDescent="0.35"/>
    <row r="574" x14ac:dyDescent="0.35"/>
    <row r="575" x14ac:dyDescent="0.35"/>
    <row r="576" x14ac:dyDescent="0.35"/>
    <row r="577" x14ac:dyDescent="0.35"/>
    <row r="578" x14ac:dyDescent="0.35"/>
    <row r="579" x14ac:dyDescent="0.35"/>
    <row r="580" x14ac:dyDescent="0.35"/>
    <row r="581" x14ac:dyDescent="0.35"/>
    <row r="582" x14ac:dyDescent="0.35"/>
    <row r="583" x14ac:dyDescent="0.35"/>
    <row r="584" x14ac:dyDescent="0.35"/>
    <row r="585" x14ac:dyDescent="0.35"/>
    <row r="586" x14ac:dyDescent="0.35"/>
    <row r="587" x14ac:dyDescent="0.35"/>
    <row r="588" x14ac:dyDescent="0.35"/>
    <row r="589" x14ac:dyDescent="0.35"/>
    <row r="590" x14ac:dyDescent="0.35"/>
    <row r="591" x14ac:dyDescent="0.35"/>
    <row r="592" x14ac:dyDescent="0.35"/>
    <row r="593" x14ac:dyDescent="0.35"/>
    <row r="594" x14ac:dyDescent="0.35"/>
    <row r="595" x14ac:dyDescent="0.35"/>
    <row r="596" x14ac:dyDescent="0.35"/>
    <row r="597" x14ac:dyDescent="0.35"/>
    <row r="598" x14ac:dyDescent="0.35"/>
    <row r="599" x14ac:dyDescent="0.35"/>
    <row r="600" x14ac:dyDescent="0.35"/>
    <row r="601" x14ac:dyDescent="0.35"/>
    <row r="602" x14ac:dyDescent="0.35"/>
    <row r="603" x14ac:dyDescent="0.35"/>
    <row r="604" x14ac:dyDescent="0.35"/>
    <row r="605" x14ac:dyDescent="0.35"/>
    <row r="606" x14ac:dyDescent="0.35"/>
    <row r="607" x14ac:dyDescent="0.35"/>
    <row r="608" x14ac:dyDescent="0.35"/>
    <row r="609" x14ac:dyDescent="0.35"/>
    <row r="610" x14ac:dyDescent="0.35"/>
    <row r="611" x14ac:dyDescent="0.35"/>
    <row r="612" x14ac:dyDescent="0.35"/>
    <row r="613" x14ac:dyDescent="0.35"/>
    <row r="614" x14ac:dyDescent="0.35"/>
    <row r="615" x14ac:dyDescent="0.35"/>
    <row r="616" x14ac:dyDescent="0.35"/>
    <row r="617" x14ac:dyDescent="0.35"/>
    <row r="618" x14ac:dyDescent="0.35"/>
    <row r="619" x14ac:dyDescent="0.35"/>
    <row r="620" x14ac:dyDescent="0.35"/>
    <row r="621" x14ac:dyDescent="0.35"/>
    <row r="622" x14ac:dyDescent="0.35"/>
    <row r="623" x14ac:dyDescent="0.35"/>
    <row r="624" x14ac:dyDescent="0.35"/>
    <row r="625" x14ac:dyDescent="0.35"/>
    <row r="626" x14ac:dyDescent="0.35"/>
    <row r="627" x14ac:dyDescent="0.35"/>
    <row r="628" x14ac:dyDescent="0.35"/>
    <row r="629" x14ac:dyDescent="0.35"/>
    <row r="630" x14ac:dyDescent="0.35"/>
    <row r="631" x14ac:dyDescent="0.35"/>
    <row r="632" x14ac:dyDescent="0.35"/>
    <row r="633" x14ac:dyDescent="0.35"/>
    <row r="634" x14ac:dyDescent="0.35"/>
    <row r="635" x14ac:dyDescent="0.35"/>
    <row r="636" x14ac:dyDescent="0.35"/>
    <row r="637" x14ac:dyDescent="0.35"/>
    <row r="638" x14ac:dyDescent="0.35"/>
    <row r="639" x14ac:dyDescent="0.35"/>
    <row r="640" x14ac:dyDescent="0.35"/>
    <row r="641" x14ac:dyDescent="0.35"/>
    <row r="642" x14ac:dyDescent="0.35"/>
    <row r="643" x14ac:dyDescent="0.35"/>
    <row r="644" x14ac:dyDescent="0.35"/>
    <row r="645" x14ac:dyDescent="0.35"/>
    <row r="646" x14ac:dyDescent="0.35"/>
    <row r="647" x14ac:dyDescent="0.35"/>
    <row r="648" x14ac:dyDescent="0.35"/>
    <row r="649" x14ac:dyDescent="0.35"/>
    <row r="650" x14ac:dyDescent="0.35"/>
    <row r="651" x14ac:dyDescent="0.35"/>
    <row r="652" x14ac:dyDescent="0.35"/>
    <row r="653" x14ac:dyDescent="0.35"/>
    <row r="654" x14ac:dyDescent="0.35"/>
    <row r="655" x14ac:dyDescent="0.35"/>
    <row r="656" x14ac:dyDescent="0.35"/>
    <row r="657" x14ac:dyDescent="0.35"/>
    <row r="658" x14ac:dyDescent="0.35"/>
    <row r="659" x14ac:dyDescent="0.35"/>
    <row r="660" x14ac:dyDescent="0.35"/>
    <row r="661" x14ac:dyDescent="0.35"/>
    <row r="662" x14ac:dyDescent="0.35"/>
    <row r="663" x14ac:dyDescent="0.35"/>
    <row r="664" x14ac:dyDescent="0.35"/>
    <row r="665" x14ac:dyDescent="0.35"/>
    <row r="666" x14ac:dyDescent="0.35"/>
    <row r="667" x14ac:dyDescent="0.35"/>
    <row r="668" x14ac:dyDescent="0.35"/>
    <row r="669" x14ac:dyDescent="0.35"/>
    <row r="670" x14ac:dyDescent="0.35"/>
    <row r="671" x14ac:dyDescent="0.35"/>
    <row r="672" x14ac:dyDescent="0.35"/>
    <row r="673" x14ac:dyDescent="0.35"/>
    <row r="674" x14ac:dyDescent="0.35"/>
    <row r="675" x14ac:dyDescent="0.35"/>
    <row r="676" x14ac:dyDescent="0.35"/>
    <row r="677" x14ac:dyDescent="0.35"/>
    <row r="678" x14ac:dyDescent="0.35"/>
    <row r="679" x14ac:dyDescent="0.35"/>
    <row r="680" x14ac:dyDescent="0.35"/>
    <row r="681" x14ac:dyDescent="0.35"/>
    <row r="682" x14ac:dyDescent="0.35"/>
    <row r="683" x14ac:dyDescent="0.35"/>
    <row r="684" x14ac:dyDescent="0.35"/>
    <row r="685" x14ac:dyDescent="0.35"/>
    <row r="686" x14ac:dyDescent="0.35"/>
    <row r="687" x14ac:dyDescent="0.35"/>
    <row r="688" x14ac:dyDescent="0.35"/>
    <row r="689" x14ac:dyDescent="0.35"/>
    <row r="690" x14ac:dyDescent="0.35"/>
    <row r="691" x14ac:dyDescent="0.35"/>
    <row r="692" x14ac:dyDescent="0.35"/>
    <row r="693" x14ac:dyDescent="0.35"/>
    <row r="694" x14ac:dyDescent="0.35"/>
    <row r="695" x14ac:dyDescent="0.35"/>
    <row r="696" x14ac:dyDescent="0.35"/>
    <row r="697" x14ac:dyDescent="0.35"/>
    <row r="698" x14ac:dyDescent="0.35"/>
    <row r="699" x14ac:dyDescent="0.35"/>
    <row r="700" x14ac:dyDescent="0.35"/>
    <row r="701" x14ac:dyDescent="0.35"/>
    <row r="702" x14ac:dyDescent="0.35"/>
    <row r="703" x14ac:dyDescent="0.35"/>
    <row r="704" x14ac:dyDescent="0.35"/>
    <row r="705" x14ac:dyDescent="0.35"/>
    <row r="706" x14ac:dyDescent="0.35"/>
    <row r="707" x14ac:dyDescent="0.35"/>
    <row r="708" x14ac:dyDescent="0.35"/>
    <row r="709" x14ac:dyDescent="0.35"/>
    <row r="710" x14ac:dyDescent="0.35"/>
    <row r="711" x14ac:dyDescent="0.35"/>
    <row r="712" x14ac:dyDescent="0.35"/>
    <row r="713" x14ac:dyDescent="0.35"/>
    <row r="714" x14ac:dyDescent="0.35"/>
    <row r="715" x14ac:dyDescent="0.35"/>
    <row r="716" x14ac:dyDescent="0.35"/>
    <row r="717" x14ac:dyDescent="0.35"/>
    <row r="718" x14ac:dyDescent="0.35"/>
    <row r="719" x14ac:dyDescent="0.35"/>
    <row r="720" x14ac:dyDescent="0.35"/>
    <row r="721" x14ac:dyDescent="0.35"/>
    <row r="722" x14ac:dyDescent="0.35"/>
    <row r="723" x14ac:dyDescent="0.35"/>
    <row r="724" x14ac:dyDescent="0.35"/>
    <row r="725" x14ac:dyDescent="0.35"/>
    <row r="726" x14ac:dyDescent="0.35"/>
    <row r="727" x14ac:dyDescent="0.35"/>
    <row r="728" x14ac:dyDescent="0.35"/>
    <row r="729" x14ac:dyDescent="0.35"/>
    <row r="730" x14ac:dyDescent="0.35"/>
    <row r="731" x14ac:dyDescent="0.35"/>
    <row r="732" x14ac:dyDescent="0.35"/>
    <row r="733" x14ac:dyDescent="0.35"/>
    <row r="734" x14ac:dyDescent="0.35"/>
    <row r="735" x14ac:dyDescent="0.35"/>
    <row r="736" x14ac:dyDescent="0.35"/>
    <row r="737" x14ac:dyDescent="0.35"/>
    <row r="738" x14ac:dyDescent="0.35"/>
    <row r="739" x14ac:dyDescent="0.35"/>
    <row r="740" x14ac:dyDescent="0.35"/>
    <row r="741" x14ac:dyDescent="0.35"/>
    <row r="742" x14ac:dyDescent="0.35"/>
    <row r="743" x14ac:dyDescent="0.35"/>
    <row r="744" x14ac:dyDescent="0.35"/>
    <row r="745" x14ac:dyDescent="0.35"/>
    <row r="746" x14ac:dyDescent="0.35"/>
    <row r="747" x14ac:dyDescent="0.35"/>
    <row r="748" x14ac:dyDescent="0.35"/>
    <row r="749" x14ac:dyDescent="0.35"/>
    <row r="750" x14ac:dyDescent="0.35"/>
    <row r="751" x14ac:dyDescent="0.35"/>
    <row r="752" x14ac:dyDescent="0.35"/>
    <row r="753" x14ac:dyDescent="0.35"/>
    <row r="754" x14ac:dyDescent="0.35"/>
    <row r="755" x14ac:dyDescent="0.35"/>
    <row r="756" x14ac:dyDescent="0.35"/>
    <row r="757" x14ac:dyDescent="0.35"/>
    <row r="758" x14ac:dyDescent="0.35"/>
    <row r="759" x14ac:dyDescent="0.35"/>
    <row r="760" x14ac:dyDescent="0.35"/>
    <row r="761" x14ac:dyDescent="0.35"/>
    <row r="762" x14ac:dyDescent="0.35"/>
    <row r="763" x14ac:dyDescent="0.35"/>
    <row r="764" x14ac:dyDescent="0.35"/>
    <row r="765" x14ac:dyDescent="0.35"/>
    <row r="766" x14ac:dyDescent="0.35"/>
    <row r="767" x14ac:dyDescent="0.35"/>
    <row r="768" x14ac:dyDescent="0.35"/>
    <row r="769" x14ac:dyDescent="0.35"/>
    <row r="770" x14ac:dyDescent="0.35"/>
    <row r="771" x14ac:dyDescent="0.35"/>
    <row r="772" x14ac:dyDescent="0.35"/>
    <row r="773" x14ac:dyDescent="0.35"/>
    <row r="774" x14ac:dyDescent="0.35"/>
    <row r="775" x14ac:dyDescent="0.35"/>
    <row r="776" x14ac:dyDescent="0.35"/>
    <row r="777" x14ac:dyDescent="0.35"/>
    <row r="778" x14ac:dyDescent="0.35"/>
    <row r="779" x14ac:dyDescent="0.35"/>
    <row r="780" x14ac:dyDescent="0.35"/>
    <row r="781" x14ac:dyDescent="0.35"/>
    <row r="782" x14ac:dyDescent="0.35"/>
    <row r="783" x14ac:dyDescent="0.35"/>
    <row r="784" x14ac:dyDescent="0.35"/>
    <row r="785" x14ac:dyDescent="0.35"/>
    <row r="786" x14ac:dyDescent="0.35"/>
    <row r="787" x14ac:dyDescent="0.35"/>
    <row r="788" x14ac:dyDescent="0.35"/>
    <row r="789" x14ac:dyDescent="0.35"/>
    <row r="790" x14ac:dyDescent="0.35"/>
    <row r="791" x14ac:dyDescent="0.35"/>
    <row r="792" x14ac:dyDescent="0.35"/>
    <row r="793" x14ac:dyDescent="0.35"/>
    <row r="794" x14ac:dyDescent="0.35"/>
    <row r="795" x14ac:dyDescent="0.35"/>
    <row r="796" x14ac:dyDescent="0.35"/>
    <row r="797" x14ac:dyDescent="0.35"/>
    <row r="798" x14ac:dyDescent="0.35"/>
    <row r="799" x14ac:dyDescent="0.35"/>
    <row r="800" x14ac:dyDescent="0.35"/>
    <row r="801" x14ac:dyDescent="0.35"/>
    <row r="802" x14ac:dyDescent="0.35"/>
    <row r="803" x14ac:dyDescent="0.35"/>
    <row r="804" x14ac:dyDescent="0.35"/>
    <row r="805" x14ac:dyDescent="0.35"/>
    <row r="806" x14ac:dyDescent="0.35"/>
    <row r="807" x14ac:dyDescent="0.35"/>
    <row r="808" x14ac:dyDescent="0.35"/>
    <row r="809" x14ac:dyDescent="0.35"/>
    <row r="810" x14ac:dyDescent="0.35"/>
    <row r="811" x14ac:dyDescent="0.35"/>
    <row r="812" x14ac:dyDescent="0.35"/>
    <row r="813" x14ac:dyDescent="0.35"/>
    <row r="814" x14ac:dyDescent="0.35"/>
    <row r="815" x14ac:dyDescent="0.35"/>
    <row r="816" x14ac:dyDescent="0.35"/>
    <row r="817" x14ac:dyDescent="0.35"/>
    <row r="818" x14ac:dyDescent="0.35"/>
    <row r="819" x14ac:dyDescent="0.35"/>
    <row r="820" x14ac:dyDescent="0.35"/>
    <row r="821" x14ac:dyDescent="0.35"/>
    <row r="822" x14ac:dyDescent="0.35"/>
    <row r="823" x14ac:dyDescent="0.35"/>
    <row r="824" x14ac:dyDescent="0.35"/>
    <row r="825" x14ac:dyDescent="0.35"/>
    <row r="826" x14ac:dyDescent="0.35"/>
    <row r="827" x14ac:dyDescent="0.35"/>
    <row r="828" x14ac:dyDescent="0.35"/>
    <row r="829" x14ac:dyDescent="0.35"/>
    <row r="830" x14ac:dyDescent="0.35"/>
    <row r="831" x14ac:dyDescent="0.35"/>
    <row r="832" x14ac:dyDescent="0.35"/>
    <row r="833" x14ac:dyDescent="0.35"/>
    <row r="834" x14ac:dyDescent="0.35"/>
    <row r="835" x14ac:dyDescent="0.35"/>
    <row r="836" x14ac:dyDescent="0.35"/>
    <row r="837" x14ac:dyDescent="0.35"/>
    <row r="838" x14ac:dyDescent="0.35"/>
    <row r="839" x14ac:dyDescent="0.35"/>
    <row r="840" x14ac:dyDescent="0.35"/>
    <row r="841" x14ac:dyDescent="0.35"/>
    <row r="842" x14ac:dyDescent="0.35"/>
    <row r="843" x14ac:dyDescent="0.35"/>
    <row r="844" x14ac:dyDescent="0.35"/>
    <row r="845" x14ac:dyDescent="0.35"/>
    <row r="846" x14ac:dyDescent="0.35"/>
    <row r="847" x14ac:dyDescent="0.35"/>
    <row r="848" x14ac:dyDescent="0.35"/>
    <row r="849" x14ac:dyDescent="0.35"/>
    <row r="850" x14ac:dyDescent="0.35"/>
    <row r="851" x14ac:dyDescent="0.35"/>
    <row r="852" x14ac:dyDescent="0.35"/>
    <row r="853" x14ac:dyDescent="0.35"/>
    <row r="854" x14ac:dyDescent="0.35"/>
    <row r="855" x14ac:dyDescent="0.35"/>
    <row r="856" x14ac:dyDescent="0.35"/>
    <row r="857" x14ac:dyDescent="0.35"/>
    <row r="858" x14ac:dyDescent="0.35"/>
    <row r="859" x14ac:dyDescent="0.35"/>
    <row r="860" x14ac:dyDescent="0.35"/>
    <row r="861" x14ac:dyDescent="0.35"/>
    <row r="862" x14ac:dyDescent="0.35"/>
    <row r="863" x14ac:dyDescent="0.35"/>
    <row r="864" x14ac:dyDescent="0.35"/>
    <row r="865" x14ac:dyDescent="0.35"/>
    <row r="866" x14ac:dyDescent="0.35"/>
    <row r="867" x14ac:dyDescent="0.35"/>
    <row r="868" x14ac:dyDescent="0.35"/>
    <row r="869" x14ac:dyDescent="0.35"/>
    <row r="870" x14ac:dyDescent="0.35"/>
    <row r="871" x14ac:dyDescent="0.35"/>
    <row r="872" x14ac:dyDescent="0.35"/>
    <row r="873" x14ac:dyDescent="0.35"/>
    <row r="874" x14ac:dyDescent="0.35"/>
    <row r="875" x14ac:dyDescent="0.35"/>
    <row r="876" x14ac:dyDescent="0.35"/>
    <row r="877" x14ac:dyDescent="0.35"/>
    <row r="878" x14ac:dyDescent="0.35"/>
    <row r="879" x14ac:dyDescent="0.35"/>
    <row r="880" x14ac:dyDescent="0.35"/>
    <row r="881" x14ac:dyDescent="0.35"/>
    <row r="882" x14ac:dyDescent="0.35"/>
    <row r="883" x14ac:dyDescent="0.35"/>
    <row r="884" x14ac:dyDescent="0.35"/>
    <row r="885" x14ac:dyDescent="0.35"/>
    <row r="886" x14ac:dyDescent="0.35"/>
    <row r="887" x14ac:dyDescent="0.35"/>
    <row r="888" x14ac:dyDescent="0.35"/>
    <row r="889" x14ac:dyDescent="0.35"/>
    <row r="890" x14ac:dyDescent="0.35"/>
    <row r="891" x14ac:dyDescent="0.35"/>
    <row r="892" x14ac:dyDescent="0.35"/>
    <row r="893" x14ac:dyDescent="0.35"/>
    <row r="894" x14ac:dyDescent="0.35"/>
    <row r="895" x14ac:dyDescent="0.35"/>
    <row r="896" x14ac:dyDescent="0.35"/>
    <row r="897" x14ac:dyDescent="0.35"/>
    <row r="898" x14ac:dyDescent="0.35"/>
    <row r="899" x14ac:dyDescent="0.35"/>
    <row r="900" x14ac:dyDescent="0.35"/>
    <row r="901" x14ac:dyDescent="0.35"/>
    <row r="902" x14ac:dyDescent="0.35"/>
    <row r="903" x14ac:dyDescent="0.35"/>
    <row r="904" x14ac:dyDescent="0.35"/>
    <row r="905" x14ac:dyDescent="0.35"/>
    <row r="906" x14ac:dyDescent="0.35"/>
    <row r="907" x14ac:dyDescent="0.35"/>
    <row r="908" x14ac:dyDescent="0.35"/>
    <row r="909" x14ac:dyDescent="0.35"/>
    <row r="910" x14ac:dyDescent="0.35"/>
    <row r="911" x14ac:dyDescent="0.35"/>
    <row r="912" x14ac:dyDescent="0.35"/>
    <row r="913" x14ac:dyDescent="0.35"/>
    <row r="914" x14ac:dyDescent="0.35"/>
    <row r="915" x14ac:dyDescent="0.35"/>
    <row r="916" x14ac:dyDescent="0.35"/>
    <row r="917" x14ac:dyDescent="0.35"/>
    <row r="918" x14ac:dyDescent="0.35"/>
    <row r="919" x14ac:dyDescent="0.35"/>
    <row r="920" x14ac:dyDescent="0.35"/>
    <row r="921" x14ac:dyDescent="0.35"/>
    <row r="922" x14ac:dyDescent="0.35"/>
    <row r="923" x14ac:dyDescent="0.35"/>
    <row r="924" x14ac:dyDescent="0.35"/>
    <row r="925" x14ac:dyDescent="0.35"/>
    <row r="926" x14ac:dyDescent="0.35"/>
    <row r="927" x14ac:dyDescent="0.35"/>
    <row r="928" x14ac:dyDescent="0.35"/>
    <row r="929" x14ac:dyDescent="0.35"/>
    <row r="930" x14ac:dyDescent="0.35"/>
    <row r="931" x14ac:dyDescent="0.35"/>
    <row r="932" x14ac:dyDescent="0.35"/>
    <row r="933" x14ac:dyDescent="0.35"/>
    <row r="934" x14ac:dyDescent="0.35"/>
    <row r="935" x14ac:dyDescent="0.35"/>
    <row r="936" x14ac:dyDescent="0.35"/>
    <row r="937" x14ac:dyDescent="0.35"/>
    <row r="938" x14ac:dyDescent="0.35"/>
    <row r="939" x14ac:dyDescent="0.35"/>
    <row r="940" x14ac:dyDescent="0.35"/>
    <row r="941" x14ac:dyDescent="0.35"/>
    <row r="942" x14ac:dyDescent="0.35"/>
    <row r="943" x14ac:dyDescent="0.35"/>
    <row r="944" x14ac:dyDescent="0.35"/>
    <row r="945" x14ac:dyDescent="0.35"/>
    <row r="946" x14ac:dyDescent="0.35"/>
    <row r="947" x14ac:dyDescent="0.35"/>
    <row r="948" x14ac:dyDescent="0.35"/>
    <row r="949" x14ac:dyDescent="0.35"/>
    <row r="950" x14ac:dyDescent="0.35"/>
    <row r="951" x14ac:dyDescent="0.35"/>
    <row r="952" x14ac:dyDescent="0.35"/>
    <row r="953" x14ac:dyDescent="0.35"/>
    <row r="954" x14ac:dyDescent="0.35"/>
    <row r="955" x14ac:dyDescent="0.35"/>
    <row r="956" x14ac:dyDescent="0.35"/>
    <row r="957" x14ac:dyDescent="0.35"/>
    <row r="958" x14ac:dyDescent="0.35"/>
    <row r="959" x14ac:dyDescent="0.35"/>
    <row r="960" x14ac:dyDescent="0.35"/>
    <row r="961" x14ac:dyDescent="0.35"/>
    <row r="962" x14ac:dyDescent="0.35"/>
    <row r="963" x14ac:dyDescent="0.35"/>
    <row r="964" x14ac:dyDescent="0.35"/>
    <row r="965" x14ac:dyDescent="0.35"/>
    <row r="966" x14ac:dyDescent="0.35"/>
    <row r="967" x14ac:dyDescent="0.35"/>
    <row r="968" x14ac:dyDescent="0.35"/>
    <row r="969" x14ac:dyDescent="0.35"/>
    <row r="970" x14ac:dyDescent="0.35"/>
    <row r="971" x14ac:dyDescent="0.35"/>
    <row r="972" x14ac:dyDescent="0.35"/>
    <row r="973" x14ac:dyDescent="0.35"/>
    <row r="974" x14ac:dyDescent="0.35"/>
    <row r="975" x14ac:dyDescent="0.35"/>
    <row r="976" x14ac:dyDescent="0.35"/>
    <row r="977" x14ac:dyDescent="0.35"/>
    <row r="978" x14ac:dyDescent="0.35"/>
    <row r="979" x14ac:dyDescent="0.35"/>
    <row r="980" x14ac:dyDescent="0.35"/>
    <row r="981" x14ac:dyDescent="0.35"/>
    <row r="982" x14ac:dyDescent="0.35"/>
    <row r="983" x14ac:dyDescent="0.35"/>
    <row r="984" x14ac:dyDescent="0.35"/>
    <row r="985" x14ac:dyDescent="0.35"/>
    <row r="986" x14ac:dyDescent="0.35"/>
    <row r="987" x14ac:dyDescent="0.35"/>
    <row r="988" x14ac:dyDescent="0.35"/>
    <row r="989" x14ac:dyDescent="0.35"/>
    <row r="990" x14ac:dyDescent="0.35"/>
    <row r="991" x14ac:dyDescent="0.35"/>
    <row r="992" x14ac:dyDescent="0.35"/>
    <row r="993" x14ac:dyDescent="0.35"/>
    <row r="994" x14ac:dyDescent="0.35"/>
    <row r="995" x14ac:dyDescent="0.35"/>
    <row r="996" x14ac:dyDescent="0.35"/>
    <row r="997" x14ac:dyDescent="0.35"/>
    <row r="998" x14ac:dyDescent="0.35"/>
    <row r="999" x14ac:dyDescent="0.35"/>
  </sheetData>
  <sheetProtection selectLockedCells="1"/>
  <protectedRanges>
    <protectedRange sqref="A1:K2" name="Range1"/>
  </protectedRanges>
  <mergeCells count="1">
    <mergeCell ref="A1:K1"/>
  </mergeCells>
  <dataValidations count="5">
    <dataValidation type="list" allowBlank="1" showInputMessage="1" showErrorMessage="1" sqref="B3:B999">
      <formula1>Constituent_Name</formula1>
    </dataValidation>
    <dataValidation type="list" allowBlank="1" showInputMessage="1" showErrorMessage="1" sqref="H3:H999">
      <formula1>UnitType_Name</formula1>
    </dataValidation>
    <dataValidation type="list" allowBlank="1" showInputMessage="1" showErrorMessage="1" sqref="E3:E999">
      <formula1>Method_Name</formula1>
    </dataValidation>
    <dataValidation type="list" allowBlank="1" showInputMessage="1" showErrorMessage="1" sqref="J3:J999">
      <formula1>Quality_Assurance</formula1>
    </dataValidation>
    <dataValidation type="list" allowBlank="1" showInputMessage="1" showErrorMessage="1" sqref="C3:C999">
      <formula1>IsotopeFlag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4426E8C-2A7C-4006-A944-7DB8B013AA33}">
            <xm:f>IF(ISERROR(MATCH($E3,'Lookup Tables'!$C$3:$C$63,0)),FALSE,IF(ISBLANK($D3),TRUE,FALSE))</xm:f>
            <x14:dxf>
              <fill>
                <patternFill patternType="none">
                  <bgColor auto="1"/>
                </patternFill>
              </fill>
              <border>
                <left style="thin">
                  <color rgb="FFFF0000"/>
                </left>
                <right style="thin">
                  <color rgb="FFFF0000"/>
                </right>
                <top style="thin">
                  <color rgb="FFFF0000"/>
                </top>
                <bottom style="thin">
                  <color rgb="FFFF0000"/>
                </bottom>
              </border>
            </x14:dxf>
          </x14:cfRule>
          <xm:sqref>D3:D999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/>
  </sheetPr>
  <dimension ref="A1:R63"/>
  <sheetViews>
    <sheetView workbookViewId="0">
      <selection activeCell="C23" sqref="C23"/>
    </sheetView>
  </sheetViews>
  <sheetFormatPr defaultColWidth="9.1796875" defaultRowHeight="14.5" zeroHeight="1" x14ac:dyDescent="0.35"/>
  <cols>
    <col min="1" max="1" width="22.1796875" bestFit="1" customWidth="1"/>
    <col min="2" max="2" width="4.81640625" style="7" customWidth="1"/>
    <col min="3" max="3" width="24.7265625" style="7" bestFit="1" customWidth="1"/>
    <col min="4" max="4" width="30.7265625" bestFit="1" customWidth="1"/>
    <col min="5" max="5" width="6.453125" style="16" customWidth="1"/>
    <col min="6" max="6" width="27.81640625" customWidth="1"/>
    <col min="7" max="7" width="3.7265625" style="7" customWidth="1"/>
    <col min="8" max="8" width="19.1796875" style="7" customWidth="1"/>
    <col min="9" max="9" width="3.7265625" style="7" customWidth="1"/>
    <col min="10" max="10" width="48.54296875" style="7" customWidth="1"/>
    <col min="11" max="11" width="3.7265625" style="7" customWidth="1"/>
    <col min="12" max="12" width="3.7265625" style="3" customWidth="1"/>
    <col min="13" max="13" width="14.26953125" customWidth="1"/>
    <col min="14" max="14" width="20.26953125" customWidth="1"/>
    <col min="15" max="15" width="10.453125" customWidth="1"/>
    <col min="16" max="16" width="29.81640625" customWidth="1"/>
    <col min="17" max="17" width="9.1796875" customWidth="1"/>
  </cols>
  <sheetData>
    <row r="1" spans="1:18" ht="20.25" customHeight="1" thickBot="1" x14ac:dyDescent="0.55000000000000004">
      <c r="A1" s="49" t="s">
        <v>4</v>
      </c>
      <c r="B1" s="50"/>
      <c r="C1" s="50"/>
      <c r="D1" s="50"/>
      <c r="E1" s="50"/>
      <c r="F1" s="50"/>
      <c r="G1" s="50"/>
      <c r="H1" s="50"/>
      <c r="I1" s="50"/>
      <c r="J1" s="50"/>
      <c r="K1" s="51"/>
      <c r="L1" s="1"/>
      <c r="M1" s="49" t="s">
        <v>39</v>
      </c>
      <c r="N1" s="50"/>
      <c r="O1" s="50"/>
      <c r="P1" s="51"/>
    </row>
    <row r="2" spans="1:18" ht="15" thickBot="1" x14ac:dyDescent="0.4">
      <c r="A2" s="10" t="s">
        <v>1</v>
      </c>
      <c r="B2" s="4"/>
      <c r="C2" s="27" t="s">
        <v>164</v>
      </c>
      <c r="D2" s="11" t="s">
        <v>5</v>
      </c>
      <c r="E2" s="12"/>
      <c r="F2" s="11" t="s">
        <v>42</v>
      </c>
      <c r="G2" s="4"/>
      <c r="H2" s="19" t="s">
        <v>152</v>
      </c>
      <c r="I2" s="4"/>
      <c r="J2" s="11" t="s">
        <v>80</v>
      </c>
      <c r="K2" s="8"/>
      <c r="L2" s="2"/>
      <c r="M2" s="46" t="s">
        <v>1</v>
      </c>
      <c r="N2" s="47"/>
      <c r="O2" s="47" t="s">
        <v>5</v>
      </c>
      <c r="P2" s="48"/>
    </row>
    <row r="3" spans="1:18" ht="21" customHeight="1" thickBot="1" x14ac:dyDescent="0.4">
      <c r="A3" s="40" t="s">
        <v>37</v>
      </c>
      <c r="B3" s="28">
        <v>21</v>
      </c>
      <c r="C3" s="52"/>
      <c r="D3" s="39" t="s">
        <v>31</v>
      </c>
      <c r="E3" s="29">
        <v>5</v>
      </c>
      <c r="F3" s="32"/>
      <c r="G3" s="28">
        <v>32</v>
      </c>
      <c r="H3" s="34" t="s">
        <v>153</v>
      </c>
      <c r="I3" s="28">
        <v>9</v>
      </c>
      <c r="J3" s="32" t="s">
        <v>81</v>
      </c>
      <c r="K3" s="5"/>
      <c r="M3" s="15">
        <v>21</v>
      </c>
      <c r="N3" s="13" t="s">
        <v>37</v>
      </c>
      <c r="O3" s="13">
        <v>96</v>
      </c>
      <c r="P3" s="13" t="str">
        <f>D4</f>
        <v>BMHG (MP, ANALYZE DRY, HNO3)</v>
      </c>
    </row>
    <row r="4" spans="1:18" ht="15" thickBot="1" x14ac:dyDescent="0.4">
      <c r="A4" s="41" t="s">
        <v>9</v>
      </c>
      <c r="B4" s="28">
        <v>22</v>
      </c>
      <c r="C4" s="52"/>
      <c r="D4" s="39" t="s">
        <v>137</v>
      </c>
      <c r="E4" s="29">
        <v>96</v>
      </c>
      <c r="F4" s="36" t="s">
        <v>114</v>
      </c>
      <c r="G4" s="28">
        <v>34</v>
      </c>
      <c r="H4" s="34" t="s">
        <v>154</v>
      </c>
      <c r="I4" s="28">
        <v>10</v>
      </c>
      <c r="J4" s="32" t="s">
        <v>82</v>
      </c>
      <c r="K4" s="5"/>
      <c r="M4" s="15">
        <v>21</v>
      </c>
      <c r="N4" s="13" t="s">
        <v>37</v>
      </c>
      <c r="O4" s="13">
        <v>184</v>
      </c>
      <c r="P4" s="13" t="str">
        <f>D5</f>
        <v>BMHG (SUSPENDED)</v>
      </c>
    </row>
    <row r="5" spans="1:18" ht="15" thickBot="1" x14ac:dyDescent="0.4">
      <c r="A5" s="41" t="s">
        <v>13</v>
      </c>
      <c r="B5" s="28">
        <v>41</v>
      </c>
      <c r="C5" s="52"/>
      <c r="D5" s="39" t="s">
        <v>34</v>
      </c>
      <c r="E5" s="29">
        <v>184</v>
      </c>
      <c r="F5" s="37" t="s">
        <v>117</v>
      </c>
      <c r="G5" s="28">
        <v>37</v>
      </c>
      <c r="H5" s="34" t="s">
        <v>155</v>
      </c>
      <c r="I5" s="28">
        <v>11</v>
      </c>
      <c r="J5" s="32" t="s">
        <v>83</v>
      </c>
      <c r="K5" s="5"/>
      <c r="M5" s="15">
        <v>22</v>
      </c>
      <c r="N5" s="13" t="s">
        <v>9</v>
      </c>
      <c r="O5" s="13">
        <v>106</v>
      </c>
      <c r="P5" s="13" t="str">
        <f>D8</f>
        <v>BTHG (SL, WITHOUT H2SO4)</v>
      </c>
    </row>
    <row r="6" spans="1:18" ht="15" thickBot="1" x14ac:dyDescent="0.4">
      <c r="A6" s="41" t="s">
        <v>132</v>
      </c>
      <c r="B6" s="28">
        <v>63</v>
      </c>
      <c r="C6" s="52"/>
      <c r="D6" s="39" t="s">
        <v>138</v>
      </c>
      <c r="E6" s="29">
        <v>100</v>
      </c>
      <c r="F6" s="33" t="s">
        <v>126</v>
      </c>
      <c r="G6" s="28">
        <v>46</v>
      </c>
      <c r="H6" s="34" t="s">
        <v>156</v>
      </c>
      <c r="I6" s="28">
        <v>12</v>
      </c>
      <c r="J6" s="33" t="s">
        <v>84</v>
      </c>
      <c r="K6" s="5"/>
      <c r="M6" s="15">
        <v>22</v>
      </c>
      <c r="N6" s="13" t="s">
        <v>9</v>
      </c>
      <c r="O6" s="13">
        <v>156</v>
      </c>
      <c r="P6" s="13" t="str">
        <f>D7</f>
        <v>BTHG (SL, DC)</v>
      </c>
    </row>
    <row r="7" spans="1:18" ht="15" thickBot="1" x14ac:dyDescent="0.4">
      <c r="A7" s="41" t="s">
        <v>14</v>
      </c>
      <c r="B7" s="28">
        <v>23</v>
      </c>
      <c r="C7" s="52"/>
      <c r="D7" s="39" t="s">
        <v>139</v>
      </c>
      <c r="E7" s="29">
        <v>156</v>
      </c>
      <c r="F7" s="33" t="s">
        <v>119</v>
      </c>
      <c r="G7" s="28">
        <v>39</v>
      </c>
      <c r="H7" s="34" t="s">
        <v>112</v>
      </c>
      <c r="I7" s="28">
        <v>13</v>
      </c>
      <c r="J7" s="33" t="s">
        <v>85</v>
      </c>
      <c r="K7" s="5"/>
      <c r="M7" s="15">
        <v>22</v>
      </c>
      <c r="N7" s="13" t="s">
        <v>9</v>
      </c>
      <c r="O7" s="13">
        <v>100</v>
      </c>
      <c r="P7" s="13" t="str">
        <f>D6</f>
        <v>BTHG (MP, ANALYZE DRY)</v>
      </c>
    </row>
    <row r="8" spans="1:18" ht="15" thickBot="1" x14ac:dyDescent="0.4">
      <c r="A8" s="41" t="s">
        <v>130</v>
      </c>
      <c r="B8" s="28">
        <v>24</v>
      </c>
      <c r="C8" s="52"/>
      <c r="D8" s="39" t="s">
        <v>140</v>
      </c>
      <c r="E8" s="29">
        <v>106</v>
      </c>
      <c r="F8" s="33" t="s">
        <v>120</v>
      </c>
      <c r="G8" s="28">
        <v>40</v>
      </c>
      <c r="H8" s="34" t="s">
        <v>157</v>
      </c>
      <c r="I8" s="28">
        <v>14</v>
      </c>
      <c r="J8" s="33" t="s">
        <v>86</v>
      </c>
      <c r="K8" s="5"/>
      <c r="M8" s="15">
        <v>22</v>
      </c>
      <c r="N8" s="13" t="s">
        <v>9</v>
      </c>
      <c r="O8" s="13">
        <v>188</v>
      </c>
      <c r="P8" s="13" t="str">
        <f t="shared" ref="P8:P20" si="0">D9</f>
        <v>BTHG (SUSPENDED)</v>
      </c>
    </row>
    <row r="9" spans="1:18" ht="15" thickBot="1" x14ac:dyDescent="0.4">
      <c r="A9" s="41" t="s">
        <v>133</v>
      </c>
      <c r="B9" s="28">
        <v>64</v>
      </c>
      <c r="C9" s="52"/>
      <c r="D9" s="39" t="s">
        <v>35</v>
      </c>
      <c r="E9" s="29">
        <v>188</v>
      </c>
      <c r="F9" s="32" t="s">
        <v>113</v>
      </c>
      <c r="G9" s="28">
        <v>33</v>
      </c>
      <c r="H9" s="34" t="s">
        <v>158</v>
      </c>
      <c r="I9" s="28">
        <v>15</v>
      </c>
      <c r="J9" s="33" t="s">
        <v>87</v>
      </c>
      <c r="K9" s="5"/>
      <c r="M9" s="15">
        <v>23</v>
      </c>
      <c r="N9" s="13" t="s">
        <v>14</v>
      </c>
      <c r="O9" s="13">
        <v>44</v>
      </c>
      <c r="P9" s="13" t="str">
        <f t="shared" si="0"/>
        <v>DOC (MP)</v>
      </c>
    </row>
    <row r="10" spans="1:18" ht="15" thickBot="1" x14ac:dyDescent="0.4">
      <c r="A10" s="41" t="s">
        <v>16</v>
      </c>
      <c r="B10" s="28">
        <v>25</v>
      </c>
      <c r="C10" s="52"/>
      <c r="D10" s="39" t="s">
        <v>32</v>
      </c>
      <c r="E10" s="29">
        <v>44</v>
      </c>
      <c r="F10" s="33" t="s">
        <v>125</v>
      </c>
      <c r="G10" s="28">
        <v>45</v>
      </c>
      <c r="H10" s="34" t="s">
        <v>159</v>
      </c>
      <c r="I10" s="28">
        <v>16</v>
      </c>
      <c r="J10" s="33" t="s">
        <v>88</v>
      </c>
      <c r="K10" s="5"/>
      <c r="M10" s="15">
        <v>24</v>
      </c>
      <c r="N10" s="13" t="s">
        <v>15</v>
      </c>
      <c r="O10" s="13">
        <v>92</v>
      </c>
      <c r="P10" s="13" t="str">
        <f t="shared" si="0"/>
        <v>DRY_WEIGHT_PERCENT (MP)</v>
      </c>
    </row>
    <row r="11" spans="1:18" ht="15" thickBot="1" x14ac:dyDescent="0.4">
      <c r="A11" s="41" t="s">
        <v>40</v>
      </c>
      <c r="B11" s="28">
        <v>26</v>
      </c>
      <c r="C11" s="52"/>
      <c r="D11" s="39" t="s">
        <v>30</v>
      </c>
      <c r="E11" s="29">
        <v>92</v>
      </c>
      <c r="F11" s="33" t="s">
        <v>115</v>
      </c>
      <c r="G11" s="28">
        <v>35</v>
      </c>
      <c r="H11" s="34"/>
      <c r="I11" s="28"/>
      <c r="J11" s="33" t="s">
        <v>89</v>
      </c>
      <c r="K11" s="5"/>
      <c r="M11" s="15">
        <v>25</v>
      </c>
      <c r="N11" s="13" t="s">
        <v>16</v>
      </c>
      <c r="O11" s="13">
        <v>91</v>
      </c>
      <c r="P11" s="13" t="str">
        <f t="shared" si="0"/>
        <v>FMHG (MP, V2)</v>
      </c>
    </row>
    <row r="12" spans="1:18" ht="15" thickBot="1" x14ac:dyDescent="0.4">
      <c r="A12" s="41" t="s">
        <v>41</v>
      </c>
      <c r="B12" s="28">
        <v>27</v>
      </c>
      <c r="C12" s="52"/>
      <c r="D12" s="39" t="s">
        <v>141</v>
      </c>
      <c r="E12" s="29">
        <v>91</v>
      </c>
      <c r="F12" s="33" t="s">
        <v>116</v>
      </c>
      <c r="G12" s="28">
        <v>36</v>
      </c>
      <c r="H12" s="34"/>
      <c r="I12" s="28"/>
      <c r="J12" s="33" t="s">
        <v>90</v>
      </c>
      <c r="K12" s="5"/>
      <c r="M12" s="15">
        <v>27</v>
      </c>
      <c r="N12" s="13" t="s">
        <v>41</v>
      </c>
      <c r="O12" s="13">
        <v>47</v>
      </c>
      <c r="P12" s="13" t="str">
        <f t="shared" si="0"/>
        <v>FTHG (SL)</v>
      </c>
    </row>
    <row r="13" spans="1:18" ht="15" thickBot="1" x14ac:dyDescent="0.4">
      <c r="A13" s="40" t="s">
        <v>17</v>
      </c>
      <c r="B13" s="28">
        <v>28</v>
      </c>
      <c r="C13" s="52"/>
      <c r="D13" s="39" t="s">
        <v>33</v>
      </c>
      <c r="E13" s="29">
        <v>47</v>
      </c>
      <c r="F13" s="33" t="s">
        <v>124</v>
      </c>
      <c r="G13" s="28">
        <v>44</v>
      </c>
      <c r="H13" s="34"/>
      <c r="I13" s="28"/>
      <c r="J13" s="33" t="s">
        <v>91</v>
      </c>
      <c r="K13" s="5"/>
      <c r="M13" s="15">
        <v>27</v>
      </c>
      <c r="N13" s="13" t="s">
        <v>41</v>
      </c>
      <c r="O13" s="13">
        <v>251</v>
      </c>
      <c r="P13" s="13" t="str">
        <f t="shared" si="0"/>
        <v>FTHG (SL,automated)</v>
      </c>
      <c r="R13" s="9" t="s">
        <v>43</v>
      </c>
    </row>
    <row r="14" spans="1:18" ht="15" thickBot="1" x14ac:dyDescent="0.4">
      <c r="A14" s="40" t="s">
        <v>18</v>
      </c>
      <c r="B14" s="28">
        <v>29</v>
      </c>
      <c r="C14" s="52"/>
      <c r="D14" s="39" t="s">
        <v>142</v>
      </c>
      <c r="E14" s="29">
        <v>251</v>
      </c>
      <c r="F14" s="33" t="s">
        <v>127</v>
      </c>
      <c r="G14" s="28">
        <v>47</v>
      </c>
      <c r="H14" s="34"/>
      <c r="I14" s="28"/>
      <c r="J14" s="33" t="s">
        <v>92</v>
      </c>
      <c r="K14" s="5"/>
      <c r="M14" s="15">
        <v>28</v>
      </c>
      <c r="N14" s="13" t="s">
        <v>17</v>
      </c>
      <c r="O14" s="13">
        <v>87</v>
      </c>
      <c r="P14" s="13" t="str">
        <f t="shared" si="0"/>
        <v>HG0 (MP)</v>
      </c>
      <c r="R14" s="9" t="s">
        <v>44</v>
      </c>
    </row>
    <row r="15" spans="1:18" ht="15" thickBot="1" x14ac:dyDescent="0.4">
      <c r="A15" s="41" t="s">
        <v>128</v>
      </c>
      <c r="B15" s="28">
        <v>61</v>
      </c>
      <c r="C15" s="52"/>
      <c r="D15" s="39" t="s">
        <v>29</v>
      </c>
      <c r="E15" s="29">
        <v>87</v>
      </c>
      <c r="F15" s="33" t="s">
        <v>122</v>
      </c>
      <c r="G15" s="28">
        <v>42</v>
      </c>
      <c r="H15" s="34"/>
      <c r="I15" s="28"/>
      <c r="J15" s="33" t="s">
        <v>93</v>
      </c>
      <c r="K15" s="5"/>
      <c r="M15" s="15">
        <v>29</v>
      </c>
      <c r="N15" s="13" t="s">
        <v>18</v>
      </c>
      <c r="O15" s="13">
        <v>86</v>
      </c>
      <c r="P15" s="13" t="str">
        <f t="shared" si="0"/>
        <v>LOI_PERCENT (MP)</v>
      </c>
    </row>
    <row r="16" spans="1:18" ht="15" thickBot="1" x14ac:dyDescent="0.4">
      <c r="A16" s="40" t="s">
        <v>10</v>
      </c>
      <c r="B16" s="28">
        <v>30</v>
      </c>
      <c r="C16" s="52"/>
      <c r="D16" s="39" t="s">
        <v>28</v>
      </c>
      <c r="E16" s="29">
        <v>86</v>
      </c>
      <c r="F16" s="33" t="s">
        <v>118</v>
      </c>
      <c r="G16" s="28">
        <v>38</v>
      </c>
      <c r="H16" s="34"/>
      <c r="I16" s="28"/>
      <c r="J16" s="33" t="s">
        <v>94</v>
      </c>
      <c r="K16" s="5"/>
      <c r="M16" s="15">
        <v>61</v>
      </c>
      <c r="N16" s="13" t="s">
        <v>11</v>
      </c>
      <c r="O16" s="13">
        <v>103</v>
      </c>
      <c r="P16" s="13" t="str">
        <f t="shared" si="0"/>
        <v>MOISTURE_PERCENT (MP)</v>
      </c>
    </row>
    <row r="17" spans="1:17" ht="15" thickBot="1" x14ac:dyDescent="0.4">
      <c r="A17" s="40" t="s">
        <v>6</v>
      </c>
      <c r="B17" s="28">
        <v>31</v>
      </c>
      <c r="C17" s="52"/>
      <c r="D17" s="39" t="s">
        <v>26</v>
      </c>
      <c r="E17" s="29">
        <v>103</v>
      </c>
      <c r="F17" s="33" t="s">
        <v>123</v>
      </c>
      <c r="G17" s="28">
        <v>43</v>
      </c>
      <c r="H17" s="34"/>
      <c r="I17" s="28"/>
      <c r="J17" s="33" t="s">
        <v>95</v>
      </c>
      <c r="K17" s="5"/>
      <c r="M17" s="15">
        <v>30</v>
      </c>
      <c r="N17" s="13" t="s">
        <v>10</v>
      </c>
      <c r="O17" s="13">
        <v>85</v>
      </c>
      <c r="P17" s="13" t="str">
        <f t="shared" si="0"/>
        <v>PMHG (MP, V2)</v>
      </c>
    </row>
    <row r="18" spans="1:17" ht="15" thickBot="1" x14ac:dyDescent="0.4">
      <c r="A18" s="40" t="s">
        <v>8</v>
      </c>
      <c r="B18" s="28">
        <v>32</v>
      </c>
      <c r="C18" s="53"/>
      <c r="D18" s="39" t="s">
        <v>143</v>
      </c>
      <c r="E18" s="29">
        <v>85</v>
      </c>
      <c r="F18" s="33" t="s">
        <v>121</v>
      </c>
      <c r="G18" s="28">
        <v>41</v>
      </c>
      <c r="H18" s="34"/>
      <c r="I18" s="28"/>
      <c r="J18" s="33" t="s">
        <v>96</v>
      </c>
      <c r="K18" s="5"/>
      <c r="M18" s="15">
        <v>31</v>
      </c>
      <c r="N18" s="13" t="s">
        <v>6</v>
      </c>
      <c r="O18" s="13">
        <v>83</v>
      </c>
      <c r="P18" s="13" t="str">
        <f t="shared" si="0"/>
        <v>PTHG (MP, V2)</v>
      </c>
    </row>
    <row r="19" spans="1:17" ht="15" thickBot="1" x14ac:dyDescent="0.4">
      <c r="A19" s="41" t="s">
        <v>129</v>
      </c>
      <c r="B19" s="28">
        <v>62</v>
      </c>
      <c r="C19" s="52"/>
      <c r="D19" s="39" t="s">
        <v>144</v>
      </c>
      <c r="E19" s="29">
        <v>83</v>
      </c>
      <c r="F19" s="33"/>
      <c r="G19" s="28"/>
      <c r="H19" s="34"/>
      <c r="I19" s="28"/>
      <c r="J19" s="33" t="s">
        <v>97</v>
      </c>
      <c r="K19" s="5"/>
      <c r="M19" s="15">
        <v>32</v>
      </c>
      <c r="N19" s="13" t="s">
        <v>8</v>
      </c>
      <c r="O19" s="13">
        <v>126</v>
      </c>
      <c r="P19" s="13" t="str">
        <f t="shared" si="0"/>
        <v>SMHG (SL, ANALYZE DRY)</v>
      </c>
    </row>
    <row r="20" spans="1:17" ht="15" thickBot="1" x14ac:dyDescent="0.4">
      <c r="A20" s="40" t="s">
        <v>19</v>
      </c>
      <c r="B20" s="28">
        <v>33</v>
      </c>
      <c r="C20" s="53"/>
      <c r="D20" s="39" t="s">
        <v>145</v>
      </c>
      <c r="E20" s="29">
        <v>126</v>
      </c>
      <c r="F20" s="32"/>
      <c r="G20" s="28"/>
      <c r="H20" s="34"/>
      <c r="I20" s="28"/>
      <c r="J20" s="33" t="s">
        <v>98</v>
      </c>
      <c r="K20" s="5"/>
      <c r="M20" s="15">
        <v>62</v>
      </c>
      <c r="N20" s="13" t="s">
        <v>12</v>
      </c>
      <c r="O20" s="13">
        <v>104</v>
      </c>
      <c r="P20" s="13" t="str">
        <f t="shared" si="0"/>
        <v>SOLIDS_PERCENT (MP)</v>
      </c>
    </row>
    <row r="21" spans="1:17" ht="15" thickBot="1" x14ac:dyDescent="0.4">
      <c r="A21" s="40" t="s">
        <v>20</v>
      </c>
      <c r="B21" s="28">
        <v>34</v>
      </c>
      <c r="C21" s="53"/>
      <c r="D21" s="39" t="s">
        <v>27</v>
      </c>
      <c r="E21" s="29">
        <v>104</v>
      </c>
      <c r="F21" s="32"/>
      <c r="G21" s="28"/>
      <c r="H21" s="34"/>
      <c r="I21" s="28"/>
      <c r="J21" s="33" t="s">
        <v>99</v>
      </c>
      <c r="K21" s="5"/>
      <c r="M21" s="15">
        <v>34</v>
      </c>
      <c r="N21" s="13" t="s">
        <v>20</v>
      </c>
      <c r="O21" s="13">
        <v>74</v>
      </c>
      <c r="P21" s="13" t="s">
        <v>151</v>
      </c>
    </row>
    <row r="22" spans="1:17" ht="15" thickBot="1" x14ac:dyDescent="0.4">
      <c r="A22" s="40" t="s">
        <v>7</v>
      </c>
      <c r="B22" s="28">
        <v>35</v>
      </c>
      <c r="C22" s="54">
        <v>228</v>
      </c>
      <c r="D22" s="39" t="s">
        <v>36</v>
      </c>
      <c r="E22" s="29">
        <v>228</v>
      </c>
      <c r="F22" s="32"/>
      <c r="G22" s="28"/>
      <c r="H22" s="34"/>
      <c r="I22" s="28"/>
      <c r="J22" s="33" t="s">
        <v>100</v>
      </c>
      <c r="K22" s="5"/>
      <c r="M22" s="15">
        <v>35</v>
      </c>
      <c r="N22" s="13" t="s">
        <v>7</v>
      </c>
      <c r="O22" s="13">
        <v>157</v>
      </c>
      <c r="P22" s="13" t="str">
        <f>D24</f>
        <v>TOC (MP)</v>
      </c>
      <c r="Q22" s="14"/>
    </row>
    <row r="23" spans="1:17" ht="15" thickBot="1" x14ac:dyDescent="0.4">
      <c r="A23" s="41" t="s">
        <v>38</v>
      </c>
      <c r="B23" s="28">
        <v>42</v>
      </c>
      <c r="C23" s="54">
        <v>157</v>
      </c>
      <c r="D23" s="39" t="s">
        <v>146</v>
      </c>
      <c r="E23" s="29">
        <v>157</v>
      </c>
      <c r="F23" s="32"/>
      <c r="G23" s="28"/>
      <c r="H23" s="34"/>
      <c r="I23" s="28"/>
      <c r="J23" s="33" t="s">
        <v>101</v>
      </c>
      <c r="K23" s="5"/>
      <c r="M23" s="15">
        <v>35</v>
      </c>
      <c r="N23" s="13" t="s">
        <v>7</v>
      </c>
      <c r="O23" s="13">
        <v>228</v>
      </c>
      <c r="P23" s="13" t="str">
        <f>D23</f>
        <v>STHG (SL, ANALYZE DRY DC)</v>
      </c>
    </row>
    <row r="24" spans="1:17" ht="15" thickBot="1" x14ac:dyDescent="0.4">
      <c r="A24" s="40" t="s">
        <v>21</v>
      </c>
      <c r="B24" s="28">
        <v>36</v>
      </c>
      <c r="C24" s="52"/>
      <c r="D24" s="39" t="s">
        <v>25</v>
      </c>
      <c r="E24" s="29">
        <v>70</v>
      </c>
      <c r="F24" s="32"/>
      <c r="G24" s="28"/>
      <c r="H24" s="34"/>
      <c r="I24" s="28"/>
      <c r="J24" s="33" t="s">
        <v>102</v>
      </c>
      <c r="K24" s="5"/>
      <c r="M24" s="15">
        <v>36</v>
      </c>
      <c r="N24" s="13" t="s">
        <v>21</v>
      </c>
      <c r="O24" s="13">
        <v>70</v>
      </c>
      <c r="P24" s="13" t="str">
        <f>D25</f>
        <v>UMHG (MP, V2)</v>
      </c>
    </row>
    <row r="25" spans="1:17" ht="15" thickBot="1" x14ac:dyDescent="0.4">
      <c r="A25" s="40" t="s">
        <v>22</v>
      </c>
      <c r="B25" s="28">
        <v>37</v>
      </c>
      <c r="C25" s="52"/>
      <c r="D25" s="39" t="s">
        <v>147</v>
      </c>
      <c r="E25" s="29">
        <v>68</v>
      </c>
      <c r="F25" s="32"/>
      <c r="G25" s="28"/>
      <c r="H25" s="34"/>
      <c r="I25" s="28"/>
      <c r="J25" s="33" t="s">
        <v>103</v>
      </c>
      <c r="K25" s="5"/>
      <c r="M25" s="15">
        <v>37</v>
      </c>
      <c r="N25" s="13" t="s">
        <v>22</v>
      </c>
      <c r="O25" s="13">
        <v>68</v>
      </c>
      <c r="P25" s="13" t="str">
        <f>D26</f>
        <v>UTHG (SL,automated)</v>
      </c>
    </row>
    <row r="26" spans="1:17" ht="26.5" thickBot="1" x14ac:dyDescent="0.4">
      <c r="A26" s="40" t="s">
        <v>23</v>
      </c>
      <c r="B26" s="28">
        <v>38</v>
      </c>
      <c r="C26" s="52"/>
      <c r="D26" s="39" t="s">
        <v>148</v>
      </c>
      <c r="E26" s="29">
        <v>252</v>
      </c>
      <c r="F26" s="32"/>
      <c r="G26" s="28"/>
      <c r="H26" s="34"/>
      <c r="I26" s="28"/>
      <c r="J26" s="33" t="s">
        <v>104</v>
      </c>
      <c r="K26" s="5"/>
      <c r="M26" s="15">
        <v>39</v>
      </c>
      <c r="N26" s="13" t="s">
        <v>24</v>
      </c>
      <c r="O26" s="13">
        <v>5</v>
      </c>
      <c r="P26" s="13" t="str">
        <f>D4</f>
        <v>BMHG (MP, ANALYZE DRY, HNO3)</v>
      </c>
    </row>
    <row r="27" spans="1:17" x14ac:dyDescent="0.35">
      <c r="A27" s="40" t="s">
        <v>24</v>
      </c>
      <c r="B27" s="28">
        <v>39</v>
      </c>
      <c r="C27" s="52"/>
      <c r="D27" s="33" t="s">
        <v>151</v>
      </c>
      <c r="E27" s="30">
        <v>74</v>
      </c>
      <c r="F27" s="32"/>
      <c r="G27" s="28"/>
      <c r="H27" s="34"/>
      <c r="I27" s="28"/>
      <c r="J27" s="33" t="s">
        <v>105</v>
      </c>
      <c r="K27" s="5"/>
      <c r="M27" s="17">
        <v>39</v>
      </c>
      <c r="N27" s="18" t="s">
        <v>24</v>
      </c>
      <c r="O27" s="18">
        <v>252</v>
      </c>
      <c r="P27" s="18" t="str">
        <f>D27</f>
        <v>SRHG (MP)</v>
      </c>
    </row>
    <row r="28" spans="1:17" x14ac:dyDescent="0.35">
      <c r="A28" s="40" t="s">
        <v>131</v>
      </c>
      <c r="B28" s="28">
        <v>40</v>
      </c>
      <c r="C28" s="52"/>
      <c r="D28" s="32"/>
      <c r="E28" s="28"/>
      <c r="F28" s="32"/>
      <c r="G28" s="28"/>
      <c r="H28" s="34"/>
      <c r="I28" s="28"/>
      <c r="J28" s="33" t="s">
        <v>106</v>
      </c>
      <c r="K28" s="5"/>
    </row>
    <row r="29" spans="1:17" x14ac:dyDescent="0.35">
      <c r="A29" s="41"/>
      <c r="B29" s="5"/>
      <c r="C29" s="52"/>
      <c r="D29" s="32"/>
      <c r="E29" s="28"/>
      <c r="F29" s="32"/>
      <c r="G29" s="28"/>
      <c r="H29" s="34"/>
      <c r="I29" s="28"/>
      <c r="J29" s="33" t="s">
        <v>107</v>
      </c>
      <c r="K29" s="5"/>
    </row>
    <row r="30" spans="1:17" x14ac:dyDescent="0.35">
      <c r="A30" s="41"/>
      <c r="B30" s="5"/>
      <c r="C30" s="52"/>
      <c r="D30" s="32"/>
      <c r="E30" s="28"/>
      <c r="F30" s="32"/>
      <c r="G30" s="28"/>
      <c r="H30" s="34"/>
      <c r="I30" s="28"/>
      <c r="J30" s="33" t="s">
        <v>108</v>
      </c>
      <c r="K30" s="5"/>
    </row>
    <row r="31" spans="1:17" x14ac:dyDescent="0.35">
      <c r="A31" s="41"/>
      <c r="B31" s="5"/>
      <c r="C31" s="52"/>
      <c r="D31" s="32"/>
      <c r="E31" s="28"/>
      <c r="F31" s="32"/>
      <c r="G31" s="28"/>
      <c r="H31" s="34"/>
      <c r="I31" s="28"/>
      <c r="J31" s="33" t="s">
        <v>109</v>
      </c>
      <c r="K31" s="5"/>
    </row>
    <row r="32" spans="1:17" x14ac:dyDescent="0.35">
      <c r="A32" s="41"/>
      <c r="B32" s="5"/>
      <c r="C32" s="52"/>
      <c r="D32" s="32"/>
      <c r="E32" s="28"/>
      <c r="F32" s="32"/>
      <c r="G32" s="28"/>
      <c r="H32" s="34"/>
      <c r="I32" s="28"/>
      <c r="J32" s="33" t="s">
        <v>110</v>
      </c>
      <c r="K32" s="5"/>
    </row>
    <row r="33" spans="1:11" x14ac:dyDescent="0.35">
      <c r="A33" s="41"/>
      <c r="B33" s="5"/>
      <c r="C33" s="52"/>
      <c r="D33" s="32"/>
      <c r="E33" s="28"/>
      <c r="F33" s="32"/>
      <c r="G33" s="28"/>
      <c r="H33" s="34"/>
      <c r="I33" s="28"/>
      <c r="J33" s="33" t="s">
        <v>111</v>
      </c>
      <c r="K33" s="5"/>
    </row>
    <row r="34" spans="1:11" x14ac:dyDescent="0.35">
      <c r="A34" s="41"/>
      <c r="B34" s="5"/>
      <c r="C34" s="52"/>
      <c r="D34" s="32"/>
      <c r="E34" s="28"/>
      <c r="F34" s="32"/>
      <c r="G34" s="28"/>
      <c r="H34" s="34"/>
      <c r="I34" s="28"/>
      <c r="J34" s="33" t="s">
        <v>112</v>
      </c>
      <c r="K34" s="5"/>
    </row>
    <row r="35" spans="1:11" x14ac:dyDescent="0.35">
      <c r="A35" s="41"/>
      <c r="B35" s="5"/>
      <c r="C35" s="52"/>
      <c r="D35" s="32"/>
      <c r="E35" s="28"/>
      <c r="F35" s="32"/>
      <c r="G35" s="28"/>
      <c r="H35" s="34"/>
      <c r="I35" s="28"/>
      <c r="J35" s="32"/>
      <c r="K35" s="5"/>
    </row>
    <row r="36" spans="1:11" x14ac:dyDescent="0.35">
      <c r="A36" s="41"/>
      <c r="B36" s="5"/>
      <c r="C36" s="52"/>
      <c r="D36" s="32"/>
      <c r="E36" s="28"/>
      <c r="F36" s="32"/>
      <c r="G36" s="28"/>
      <c r="H36" s="34"/>
      <c r="I36" s="28"/>
      <c r="J36" s="32"/>
      <c r="K36" s="5"/>
    </row>
    <row r="37" spans="1:11" x14ac:dyDescent="0.35">
      <c r="A37" s="41"/>
      <c r="B37" s="5"/>
      <c r="C37" s="52"/>
      <c r="D37" s="32"/>
      <c r="E37" s="28"/>
      <c r="F37" s="32"/>
      <c r="G37" s="28"/>
      <c r="H37" s="34"/>
      <c r="I37" s="28"/>
      <c r="J37" s="32"/>
      <c r="K37" s="5"/>
    </row>
    <row r="38" spans="1:11" x14ac:dyDescent="0.35">
      <c r="A38" s="41"/>
      <c r="B38" s="5"/>
      <c r="C38" s="52"/>
      <c r="D38" s="32"/>
      <c r="E38" s="28"/>
      <c r="F38" s="32"/>
      <c r="G38" s="28"/>
      <c r="H38" s="34"/>
      <c r="I38" s="28"/>
      <c r="J38" s="32"/>
      <c r="K38" s="5"/>
    </row>
    <row r="39" spans="1:11" x14ac:dyDescent="0.35">
      <c r="A39" s="41"/>
      <c r="B39" s="5"/>
      <c r="C39" s="52"/>
      <c r="D39" s="32"/>
      <c r="E39" s="28"/>
      <c r="F39" s="32"/>
      <c r="G39" s="28"/>
      <c r="H39" s="34"/>
      <c r="I39" s="28"/>
      <c r="J39" s="32"/>
      <c r="K39" s="5"/>
    </row>
    <row r="40" spans="1:11" x14ac:dyDescent="0.35">
      <c r="A40" s="41"/>
      <c r="B40" s="5"/>
      <c r="C40" s="52"/>
      <c r="D40" s="32"/>
      <c r="E40" s="28"/>
      <c r="F40" s="32"/>
      <c r="G40" s="28"/>
      <c r="H40" s="34"/>
      <c r="I40" s="28"/>
      <c r="J40" s="32"/>
      <c r="K40" s="5"/>
    </row>
    <row r="41" spans="1:11" x14ac:dyDescent="0.35">
      <c r="A41" s="41"/>
      <c r="B41" s="5"/>
      <c r="C41" s="52"/>
      <c r="D41" s="32"/>
      <c r="E41" s="28"/>
      <c r="F41" s="32"/>
      <c r="G41" s="28"/>
      <c r="H41" s="34"/>
      <c r="I41" s="28"/>
      <c r="J41" s="32"/>
      <c r="K41" s="5"/>
    </row>
    <row r="42" spans="1:11" x14ac:dyDescent="0.35">
      <c r="A42" s="41"/>
      <c r="B42" s="5"/>
      <c r="C42" s="52"/>
      <c r="D42" s="32"/>
      <c r="E42" s="28"/>
      <c r="F42" s="32"/>
      <c r="G42" s="28"/>
      <c r="H42" s="34"/>
      <c r="I42" s="28"/>
      <c r="J42" s="32"/>
      <c r="K42" s="5"/>
    </row>
    <row r="43" spans="1:11" x14ac:dyDescent="0.35">
      <c r="A43" s="41"/>
      <c r="B43" s="5"/>
      <c r="C43" s="52"/>
      <c r="D43" s="32"/>
      <c r="E43" s="28"/>
      <c r="F43" s="32"/>
      <c r="G43" s="28"/>
      <c r="H43" s="34"/>
      <c r="I43" s="28"/>
      <c r="J43" s="32"/>
      <c r="K43" s="5"/>
    </row>
    <row r="44" spans="1:11" x14ac:dyDescent="0.35">
      <c r="A44" s="41"/>
      <c r="B44" s="5"/>
      <c r="C44" s="52"/>
      <c r="D44" s="32"/>
      <c r="E44" s="28"/>
      <c r="F44" s="32"/>
      <c r="G44" s="28"/>
      <c r="H44" s="34"/>
      <c r="I44" s="28"/>
      <c r="J44" s="32"/>
      <c r="K44" s="5"/>
    </row>
    <row r="45" spans="1:11" x14ac:dyDescent="0.35">
      <c r="A45" s="41"/>
      <c r="B45" s="5"/>
      <c r="C45" s="52"/>
      <c r="D45" s="32"/>
      <c r="E45" s="28"/>
      <c r="F45" s="32"/>
      <c r="G45" s="28"/>
      <c r="H45" s="34"/>
      <c r="I45" s="28"/>
      <c r="J45" s="32"/>
      <c r="K45" s="5"/>
    </row>
    <row r="46" spans="1:11" x14ac:dyDescent="0.35">
      <c r="A46" s="41"/>
      <c r="B46" s="5"/>
      <c r="C46" s="52"/>
      <c r="D46" s="32"/>
      <c r="E46" s="28"/>
      <c r="F46" s="32"/>
      <c r="G46" s="28"/>
      <c r="H46" s="35"/>
      <c r="I46" s="28"/>
      <c r="J46" s="32"/>
      <c r="K46" s="5"/>
    </row>
    <row r="47" spans="1:11" x14ac:dyDescent="0.35">
      <c r="A47" s="41"/>
      <c r="B47" s="5"/>
      <c r="C47" s="52"/>
      <c r="D47" s="32"/>
      <c r="E47" s="28"/>
      <c r="F47" s="32"/>
      <c r="G47" s="28"/>
      <c r="H47" s="35"/>
      <c r="I47" s="28"/>
      <c r="J47" s="32"/>
      <c r="K47" s="5"/>
    </row>
    <row r="48" spans="1:11" x14ac:dyDescent="0.35">
      <c r="A48" s="41"/>
      <c r="B48" s="5"/>
      <c r="C48" s="52"/>
      <c r="D48" s="32"/>
      <c r="E48" s="28"/>
      <c r="F48" s="32"/>
      <c r="G48" s="28"/>
      <c r="H48" s="35"/>
      <c r="I48" s="28"/>
      <c r="J48" s="32"/>
      <c r="K48" s="5"/>
    </row>
    <row r="49" spans="1:11" x14ac:dyDescent="0.35">
      <c r="A49" s="41"/>
      <c r="B49" s="5"/>
      <c r="C49" s="52"/>
      <c r="D49" s="32"/>
      <c r="E49" s="28"/>
      <c r="F49" s="32"/>
      <c r="G49" s="28"/>
      <c r="H49" s="35"/>
      <c r="I49" s="28"/>
      <c r="J49" s="32"/>
      <c r="K49" s="5"/>
    </row>
    <row r="50" spans="1:11" x14ac:dyDescent="0.35">
      <c r="A50" s="41"/>
      <c r="B50" s="5"/>
      <c r="C50" s="52"/>
      <c r="D50" s="32"/>
      <c r="E50" s="28"/>
      <c r="F50" s="32"/>
      <c r="G50" s="28"/>
      <c r="H50" s="35"/>
      <c r="I50" s="28"/>
      <c r="J50" s="32"/>
      <c r="K50" s="5"/>
    </row>
    <row r="51" spans="1:11" x14ac:dyDescent="0.35">
      <c r="A51" s="41"/>
      <c r="B51" s="5"/>
      <c r="C51" s="52"/>
      <c r="D51" s="32"/>
      <c r="E51" s="28"/>
      <c r="F51" s="32"/>
      <c r="G51" s="28"/>
      <c r="H51" s="35"/>
      <c r="I51" s="28"/>
      <c r="J51" s="32"/>
      <c r="K51" s="5"/>
    </row>
    <row r="52" spans="1:11" x14ac:dyDescent="0.35">
      <c r="A52" s="41"/>
      <c r="B52" s="5"/>
      <c r="C52" s="52"/>
      <c r="D52" s="32"/>
      <c r="E52" s="28"/>
      <c r="F52" s="32"/>
      <c r="G52" s="28"/>
      <c r="H52" s="35"/>
      <c r="I52" s="28"/>
      <c r="J52" s="32"/>
      <c r="K52" s="5"/>
    </row>
    <row r="53" spans="1:11" x14ac:dyDescent="0.35">
      <c r="A53" s="41"/>
      <c r="B53" s="5"/>
      <c r="C53" s="52"/>
      <c r="D53" s="32"/>
      <c r="E53" s="28"/>
      <c r="F53" s="32"/>
      <c r="G53" s="28"/>
      <c r="H53" s="35"/>
      <c r="I53" s="28"/>
      <c r="J53" s="32"/>
      <c r="K53" s="5"/>
    </row>
    <row r="54" spans="1:11" x14ac:dyDescent="0.35">
      <c r="A54" s="41"/>
      <c r="B54" s="5"/>
      <c r="C54" s="52"/>
      <c r="D54" s="32"/>
      <c r="E54" s="28"/>
      <c r="F54" s="32"/>
      <c r="G54" s="28"/>
      <c r="H54" s="35"/>
      <c r="I54" s="28"/>
      <c r="J54" s="32"/>
      <c r="K54" s="5"/>
    </row>
    <row r="55" spans="1:11" x14ac:dyDescent="0.35">
      <c r="A55" s="41"/>
      <c r="B55" s="5"/>
      <c r="C55" s="52"/>
      <c r="D55" s="32"/>
      <c r="E55" s="28"/>
      <c r="F55" s="32"/>
      <c r="G55" s="28"/>
      <c r="H55" s="35"/>
      <c r="I55" s="28"/>
      <c r="J55" s="32"/>
      <c r="K55" s="5"/>
    </row>
    <row r="56" spans="1:11" x14ac:dyDescent="0.35">
      <c r="A56" s="41"/>
      <c r="B56" s="5"/>
      <c r="C56" s="52"/>
      <c r="D56" s="32"/>
      <c r="E56" s="28"/>
      <c r="F56" s="32"/>
      <c r="G56" s="28"/>
      <c r="H56" s="35"/>
      <c r="I56" s="28"/>
      <c r="J56" s="32"/>
      <c r="K56" s="5"/>
    </row>
    <row r="57" spans="1:11" x14ac:dyDescent="0.35">
      <c r="A57" s="41"/>
      <c r="B57" s="5"/>
      <c r="C57" s="52"/>
      <c r="D57" s="32"/>
      <c r="E57" s="28"/>
      <c r="F57" s="32"/>
      <c r="G57" s="28"/>
      <c r="H57" s="35"/>
      <c r="I57" s="28"/>
      <c r="J57" s="32"/>
      <c r="K57" s="5"/>
    </row>
    <row r="58" spans="1:11" x14ac:dyDescent="0.35">
      <c r="A58" s="41"/>
      <c r="B58" s="5"/>
      <c r="C58" s="52"/>
      <c r="D58" s="32"/>
      <c r="E58" s="28"/>
      <c r="F58" s="32"/>
      <c r="G58" s="28"/>
      <c r="H58" s="35"/>
      <c r="I58" s="28"/>
      <c r="J58" s="32"/>
      <c r="K58" s="5"/>
    </row>
    <row r="59" spans="1:11" x14ac:dyDescent="0.35">
      <c r="A59" s="41"/>
      <c r="B59" s="5"/>
      <c r="C59" s="52"/>
      <c r="D59" s="32"/>
      <c r="E59" s="28"/>
      <c r="F59" s="32"/>
      <c r="G59" s="28"/>
      <c r="H59" s="35"/>
      <c r="I59" s="28"/>
      <c r="J59" s="32"/>
      <c r="K59" s="5"/>
    </row>
    <row r="60" spans="1:11" x14ac:dyDescent="0.35">
      <c r="A60" s="41"/>
      <c r="B60" s="5"/>
      <c r="C60" s="52"/>
      <c r="D60" s="32"/>
      <c r="E60" s="28"/>
      <c r="F60" s="32"/>
      <c r="G60" s="28"/>
      <c r="H60" s="35"/>
      <c r="I60" s="28"/>
      <c r="J60" s="32"/>
      <c r="K60" s="5"/>
    </row>
    <row r="61" spans="1:11" x14ac:dyDescent="0.35">
      <c r="A61" s="41"/>
      <c r="B61" s="5"/>
      <c r="C61" s="52"/>
      <c r="D61" s="32"/>
      <c r="E61" s="28"/>
      <c r="F61" s="32"/>
      <c r="G61" s="28"/>
      <c r="H61" s="35"/>
      <c r="I61" s="28"/>
      <c r="J61" s="32"/>
      <c r="K61" s="5"/>
    </row>
    <row r="62" spans="1:11" x14ac:dyDescent="0.35">
      <c r="A62" s="41"/>
      <c r="B62" s="5"/>
      <c r="C62" s="52"/>
      <c r="D62" s="32"/>
      <c r="E62" s="28"/>
      <c r="F62" s="32"/>
      <c r="G62" s="28"/>
      <c r="H62" s="35"/>
      <c r="I62" s="28"/>
      <c r="J62" s="32"/>
      <c r="K62" s="5"/>
    </row>
    <row r="63" spans="1:11" x14ac:dyDescent="0.35">
      <c r="A63" s="42"/>
      <c r="B63" s="6"/>
      <c r="C63" s="55"/>
      <c r="D63" s="38"/>
      <c r="E63" s="31"/>
      <c r="F63" s="38"/>
      <c r="G63" s="31"/>
      <c r="H63" s="35"/>
      <c r="I63" s="28"/>
      <c r="J63" s="32"/>
      <c r="K63" s="5"/>
    </row>
  </sheetData>
  <sheetProtection selectLockedCells="1" selectUnlockedCells="1"/>
  <sortState ref="M3:P27">
    <sortCondition ref="N3:N27"/>
  </sortState>
  <mergeCells count="4">
    <mergeCell ref="M2:N2"/>
    <mergeCell ref="O2:P2"/>
    <mergeCell ref="M1:P1"/>
    <mergeCell ref="A1:K1"/>
  </mergeCell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Results</vt:lpstr>
      <vt:lpstr>Lookup Tables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Newson, Jeremy K.</dc:creator>
  <cp:lastModifiedBy>Newson, Jeremy K.</cp:lastModifiedBy>
  <dcterms:created xsi:type="dcterms:W3CDTF">2013-11-15T14:56:54Z</dcterms:created>
  <dcterms:modified xsi:type="dcterms:W3CDTF">2015-06-23T17:53:03Z</dcterms:modified>
</cp:coreProperties>
</file>